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17908a1a2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ідсумок" sheetId="1" r:id="R778e227e6f6b44c4"/>
    <x:sheet xmlns:r="http://schemas.openxmlformats.org/officeDocument/2006/relationships" name="Декомпозиція" sheetId="2" r:id="Rcb8fe0d830ed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%"/>
    <x:numFmt numFmtId="202" formatCode="0.00"/>
  </x:numFmts>
  <x:fonts count="7">
    <x:font>
      <x:sz val="11"/>
      <x:name val="Carlito"/>
    </x:font>
    <x:font>
      <x:sz val="10"/>
      <x:color rgb="FF17283A"/>
      <x:name val="Arial"/>
    </x:font>
    <x:font>
      <x:b/>
      <x:sz val="15"/>
      <x:color rgb="FF17283A"/>
      <x:name val="Arial"/>
    </x:font>
    <x:font>
      <x:sz val="10"/>
      <x:color rgb="FF526274"/>
      <x:name val="Arial"/>
    </x:font>
    <x:font>
      <x:b/>
      <x:sz val="10"/>
      <x:color rgb="FFFFFFFF"/>
      <x:name val="Arial"/>
    </x:font>
    <x:font>
      <x:sz val="10"/>
      <x:color rgb="FF164B9A"/>
      <x:name val="Arial"/>
    </x:font>
    <x:font>
      <x:b/>
      <x:sz val="10"/>
      <x:color rgb="FF17283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F5B"/>
      </x:patternFill>
    </x:fill>
    <x:fill>
      <x:patternFill patternType="solid">
        <x:fgColor rgb="FFFFF2CC"/>
      </x:patternFill>
    </x:fill>
    <x:fill>
      <x:patternFill patternType="solid">
        <x:fgColor rgb="FFF4F1EC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 style="thin">
        <x:color rgb="FFD8E0E8"/>
      </x:top>
      <x:bottom/>
      <x:diagonal/>
    </x:border>
    <x:border>
      <x:left/>
      <x:right/>
      <x:top/>
      <x:bottom style="thin">
        <x:color rgb="FFD8E0E8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5" fillId="3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6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horizontal="right" vertical="center"/>
    </x:xf>
    <x:xf numFmtId="202" fontId="6" fillId="0" borderId="2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0d4539bb74a1c" /><Relationship Type="http://schemas.openxmlformats.org/officeDocument/2006/relationships/theme" Target="/xl/theme/theme1.xml" Id="R3507854c1c7e4338" /><Relationship Type="http://schemas.openxmlformats.org/officeDocument/2006/relationships/sharedStrings" Target="/xl/sharedStrings.xml" Id="R02fd5eb22a244181" /><Relationship Type="http://schemas.openxmlformats.org/officeDocument/2006/relationships/worksheet" Target="/xl/worksheets/sheet1.xml" Id="R778e227e6f6b44c4" /><Relationship Type="http://schemas.openxmlformats.org/officeDocument/2006/relationships/worksheet" Target="/xl/worksheets/sheet2.xml" Id="Rcb8fe0d830ed4fff" /></Relationships>
</file>

<file path=xl/tables/table1.xml><?xml version="1.0" encoding="utf-8"?>
<x:table xmlns:x="http://schemas.openxmlformats.org/spreadsheetml/2006/main" id="2" name="FeatureHours" displayName="FeatureHours" ref="A17:H36" headerRowCount="1" totalsRowCount="0" totalsRowShown="0">
  <x:tableColumns count="8">
    <x:tableColumn id="1" name="Фіча"/>
    <x:tableColumn id="2" name="№"/>
    <x:tableColumn id="3" name="MoSCoW"/>
    <x:tableColumn id="4" name="A, год"/>
    <x:tableColumn id="5" name="B, год"/>
    <x:tableColumn id="6" name="Історичні, год"/>
    <x:tableColumn id="7" name="Разом, год"/>
    <x:tableColumn id="8" name="Оцінка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TimeTasks" displayName="TimeTasks" ref="A6:I124" headerRowCount="1" totalsRowCount="0" totalsRowShown="0">
  <x:tableColumns count="9">
    <x:tableColumn id="1" name="№ / блок"/>
    <x:tableColumn id="2" name="Код кроку"/>
    <x:tableColumn id="3" name="MoSCoW"/>
    <x:tableColumn id="4" name="Підзадача"/>
    <x:tableColumn id="5" name="A, год"/>
    <x:tableColumn id="6" name="B, год"/>
    <x:tableColumn id="7" name="Історичні, год"/>
    <x:tableColumn id="8" name="Разом, год"/>
    <x:tableColumn id="9" name="Оцінка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cc5754341b48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2708975a3b4fda" /></Relationships>
</file>

<file path=xl/worksheets/sheet1.xml><?xml version="1.0" encoding="utf-8"?>
<x:worksheet xmlns:x="http://schemas.openxmlformats.org/spreadsheetml/2006/main">
  <x:sheetPr>
    <x:tabColor rgb="FF233F5B"/>
  </x:sheetPr>
  <x:sheetViews>
    <x:sheetView showGridLines="0" workbookViewId="0"/>
  </x:sheetViews>
  <x:sheetFormatPr defaultRowHeight="15"/>
  <x:cols>
    <x:col min="1" max="1" width="37" hidden="0" customWidth="1"/>
    <x:col min="2" max="2" width="8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2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Декомпозиція часу фінансового трекера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Планові оцінки на 22.10.2026. Години розробника, не фактично витрачений час.</x:v>
      </x:c>
      <x:c r="B3" s="2"/>
      <x:c r="C3" s="2"/>
      <x:c r="D3" s="2"/>
      <x:c r="E3" s="2"/>
      <x:c r="F3" s="2"/>
      <x:c r="G3" s="2"/>
      <x:c r="H3" s="2"/>
    </x:row>
    <x:row r="4" ht="32" customHeight="1">
      <x:c r="A4" s="8" t="str">
        <x:v>Обсяг</x:v>
      </x:c>
      <x:c r="B4" s="8" t="str">
        <x:v>Фічі, год</x:v>
      </x:c>
      <x:c r="C4" s="8" t="str">
        <x:v>Спільні, год</x:v>
      </x:c>
      <x:c r="D4" s="8" t="str">
        <x:v>Приріст, год</x:v>
      </x:c>
      <x:c r="E4" s="8" t="str">
        <x:v>Накопичено</x:v>
      </x:c>
      <x:c r="F4" s="8" t="str">
        <x:v>Резерв, год</x:v>
      </x:c>
      <x:c r="G4" s="8" t="str">
        <x:v>Разом, год</x:v>
      </x:c>
      <x:c r="H4" s="2"/>
    </x:row>
    <x:row r="5" ht="30" customHeight="1">
      <x:c r="A5" s="2" t="str">
        <x:v>Must</x:v>
      </x:c>
      <x:c r="B5" s="36" t="n">
        <x:f>SUMIF($C$18:$C$36,"Must",$G$18:$G$36)</x:f>
        <x:v>80</x:v>
      </x:c>
      <x:c r="C5" s="36" t="n">
        <x:f>SUM(G42:G43)</x:f>
        <x:v>18.5</x:v>
      </x:c>
      <x:c r="D5" s="36" t="n">
        <x:f>SUM(B5:C5)</x:f>
        <x:v>98.5</x:v>
      </x:c>
      <x:c r="E5" s="36" t="n">
        <x:f>D5</x:f>
        <x:v>98.5</x:v>
      </x:c>
      <x:c r="F5" s="36" t="n">
        <x:f>G5-E5</x:f>
        <x:v>32.83333333333334</x:v>
      </x:c>
      <x:c r="G5" s="37" t="n">
        <x:f>E5/(1-$B$10)</x:f>
        <x:v>131.33333333333334</x:v>
      </x:c>
      <x:c r="H5" s="2"/>
    </x:row>
    <x:row r="6" ht="30" customHeight="1">
      <x:c r="A6" s="2" t="str">
        <x:v>Must + Should</x:v>
      </x:c>
      <x:c r="B6" s="36" t="n">
        <x:f>SUMIF($C$18:$C$36,"Should",$G$18:$G$36)</x:f>
        <x:v>31</x:v>
      </x:c>
      <x:c r="C6" s="36" t="n">
        <x:f>G44</x:f>
        <x:v>2</x:v>
      </x:c>
      <x:c r="D6" s="36" t="n">
        <x:f>SUM(B6:C6)</x:f>
        <x:v>33</x:v>
      </x:c>
      <x:c r="E6" s="36" t="n">
        <x:f>SUM(E5,D6)</x:f>
        <x:v>131.5</x:v>
      </x:c>
      <x:c r="F6" s="36" t="n">
        <x:f>G6-E6</x:f>
        <x:v>43.83333333333334</x:v>
      </x:c>
      <x:c r="G6" s="37" t="n">
        <x:f>E6/(1-$B$10)</x:f>
        <x:v>175.33333333333334</x:v>
      </x:c>
      <x:c r="H6" s="2"/>
    </x:row>
    <x:row r="7" ht="30" customHeight="1">
      <x:c r="A7" s="38" t="str">
        <x:v>Must + Should + Could</x:v>
      </x:c>
      <x:c r="B7" s="39" t="n">
        <x:f>SUMIF($C$18:$C$36,"Could",$G$18:$G$36)</x:f>
        <x:v>17.5</x:v>
      </x:c>
      <x:c r="C7" s="39" t="n">
        <x:f>G45</x:f>
        <x:v>2</x:v>
      </x:c>
      <x:c r="D7" s="39" t="n">
        <x:f>SUM(B7:C7)</x:f>
        <x:v>19.5</x:v>
      </x:c>
      <x:c r="E7" s="39" t="n">
        <x:f>SUM(E6,D7)</x:f>
        <x:v>151</x:v>
      </x:c>
      <x:c r="F7" s="39" t="n">
        <x:f>G7-E7</x:f>
        <x:v>50.33333333333334</x:v>
      </x:c>
      <x:c r="G7" s="40" t="n">
        <x:f>E7/(1-$B$10)</x:f>
        <x:v>201.33333333333334</x:v>
      </x:c>
      <x:c r="H7" s="2"/>
    </x:row>
    <x:row r="8" ht="25" customHeight="1">
      <x:c r="A8" s="2"/>
      <x:c r="B8" s="2"/>
      <x:c r="C8" s="2"/>
      <x:c r="D8" s="2"/>
      <x:c r="E8" s="2"/>
      <x:c r="F8" s="2"/>
      <x:c r="G8" s="2"/>
      <x:c r="H8" s="2"/>
    </x:row>
    <x:row r="9" ht="25" customHeight="1">
      <x:c r="A9" s="2"/>
      <x:c r="B9" s="2"/>
      <x:c r="C9" s="2"/>
      <x:c r="D9" s="2"/>
      <x:c r="E9" s="2"/>
      <x:c r="F9" s="2"/>
      <x:c r="G9" s="2"/>
      <x:c r="H9" s="2"/>
    </x:row>
    <x:row r="10" ht="25" customHeight="1">
      <x:c r="A10" s="2" t="str">
        <x:v>Резерв як частка повного плану</x:v>
      </x:c>
      <x:c r="B10" s="28" t="n">
        <x:v>0.25</x:v>
      </x:c>
      <x:c r="C10" s="2"/>
      <x:c r="D10" s="2"/>
      <x:c r="E10" s="2"/>
      <x:c r="F10" s="2"/>
      <x:c r="G10" s="2"/>
      <x:c r="H10" s="2"/>
    </x:row>
    <x:row r="11" ht="25" customHeight="1">
      <x:c r="A11" s="4" t="str">
        <x:v>План = відома робота / (1 − резерв). Наприклад, 98,5 / 0,75 = 131,33 год.</x:v>
      </x:c>
      <x:c r="B11" s="4"/>
      <x:c r="C11" s="4"/>
      <x:c r="D11" s="4"/>
      <x:c r="E11" s="4"/>
      <x:c r="F11" s="4"/>
      <x:c r="G11" s="4"/>
      <x:c r="H11" s="4"/>
    </x:row>
    <x:row r="12" ht="25" customHeight="1">
      <x:c r="A12" s="4" t="str">
        <x:v>A — робота з Codex. B — перевірка людиною. У відкладених фіч поділ A/B невідомий.</x:v>
      </x:c>
      <x:c r="B12" s="4"/>
      <x:c r="C12" s="4"/>
      <x:c r="D12" s="4"/>
      <x:c r="E12" s="4"/>
      <x:c r="F12" s="4"/>
      <x:c r="G12" s="4"/>
      <x:c r="H12" s="4"/>
    </x:row>
    <x:row r="13" ht="25" customHeight="1">
      <x:c r="A13" s="4" t="str">
        <x:v>Won’t не додаємо до плану. Спільні компоненти рахуємо один раз.</x:v>
      </x:c>
      <x:c r="B13" s="4"/>
      <x:c r="C13" s="4"/>
      <x:c r="D13" s="4"/>
      <x:c r="E13" s="4"/>
      <x:c r="F13" s="4"/>
      <x:c r="G13" s="4"/>
      <x:c r="H13" s="4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</x:row>
    <x:row r="15" ht="25" customHeight="1">
      <x:c r="A15" s="3" t="str">
        <x:v>Усі початкові фічі та додаткова №21</x:v>
      </x:c>
      <x:c r="B15" s="2"/>
      <x:c r="C15" s="2"/>
      <x:c r="D15" s="2"/>
      <x:c r="E15" s="2"/>
      <x:c r="F15" s="2"/>
      <x:c r="G15" s="2"/>
      <x:c r="H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</x:row>
    <x:row r="17" ht="32" customHeight="1">
      <x:c r="A17" s="8" t="str">
        <x:v>Фіча</x:v>
      </x:c>
      <x:c r="B17" s="8" t="str">
        <x:v>№</x:v>
      </x:c>
      <x:c r="C17" s="8" t="str">
        <x:v>MoSCoW</x:v>
      </x:c>
      <x:c r="D17" s="8" t="str">
        <x:v>A, год</x:v>
      </x:c>
      <x:c r="E17" s="8" t="str">
        <x:v>B, год</x:v>
      </x:c>
      <x:c r="F17" s="8" t="str">
        <x:v>Історичні, год</x:v>
      </x:c>
      <x:c r="G17" s="8" t="str">
        <x:v>Разом, год</x:v>
      </x:c>
      <x:c r="H17" s="8" t="str">
        <x:v>Оцінка</x:v>
      </x:c>
    </x:row>
    <x:row r="18" ht="30" customHeight="1">
      <x:c r="A18" s="2" t="str">
        <x:v>Імпорт виписки Марка</x:v>
      </x:c>
      <x:c r="B18" s="12" t="n">
        <x:v>2</x:v>
      </x:c>
      <x:c r="C18" s="12" t="str">
        <x:v>Must</x:v>
      </x:c>
      <x:c r="D18" s="11" t="n">
        <x:f>SUMIF('Декомпозиція'!$A$7:$A$124,B18,'Декомпозиція'!$E$7:$E$124)</x:f>
        <x:v>8</x:v>
      </x:c>
      <x:c r="E18" s="11" t="n">
        <x:f>SUMIF('Декомпозиція'!$A$7:$A$124,B18,'Декомпозиція'!$F$7:$F$124)</x:f>
        <x:v>6.5</x:v>
      </x:c>
      <x:c r="F18" s="11"/>
      <x:c r="G18" s="11" t="n">
        <x:f>SUMIF('Декомпозиція'!$A$7:$A$124,B18,'Декомпозиція'!$H$7:$H$124)</x:f>
        <x:v>14.5</x:v>
      </x:c>
      <x:c r="H18" s="12" t="str">
        <x:v>Поточна</x:v>
      </x:c>
    </x:row>
    <x:row r="19" ht="30" customHeight="1">
      <x:c r="A19" s="2" t="str">
        <x:v>Готівка з телефона</x:v>
      </x:c>
      <x:c r="B19" s="12" t="n">
        <x:v>6</x:v>
      </x:c>
      <x:c r="C19" s="12" t="str">
        <x:v>Must</x:v>
      </x:c>
      <x:c r="D19" s="11" t="n">
        <x:f>SUMIF('Декомпозиція'!$A$7:$A$124,B19,'Декомпозиція'!$E$7:$E$124)</x:f>
        <x:v>7.5</x:v>
      </x:c>
      <x:c r="E19" s="11" t="n">
        <x:f>SUMIF('Декомпозиція'!$A$7:$A$124,B19,'Декомпозиція'!$F$7:$F$124)</x:f>
        <x:v>5.5</x:v>
      </x:c>
      <x:c r="F19" s="11"/>
      <x:c r="G19" s="11" t="n">
        <x:f>SUMIF('Декомпозиція'!$A$7:$A$124,B19,'Декомпозиція'!$H$7:$H$124)</x:f>
        <x:v>13</x:v>
      </x:c>
      <x:c r="H19" s="12" t="str">
        <x:v>Поточна</x:v>
      </x:c>
    </x:row>
    <x:row r="20" ht="30" customHeight="1">
      <x:c r="A20" s="2" t="str">
        <x:v>Спільні витрати</x:v>
      </x:c>
      <x:c r="B20" s="12" t="n">
        <x:v>9</x:v>
      </x:c>
      <x:c r="C20" s="12" t="str">
        <x:v>Must</x:v>
      </x:c>
      <x:c r="D20" s="11" t="n">
        <x:f>SUMIF('Декомпозиція'!$A$7:$A$124,B20,'Декомпозиція'!$E$7:$E$124)</x:f>
        <x:v>12.5</x:v>
      </x:c>
      <x:c r="E20" s="11" t="n">
        <x:f>SUMIF('Декомпозиція'!$A$7:$A$124,B20,'Декомпозиція'!$F$7:$F$124)</x:f>
        <x:v>9</x:v>
      </x:c>
      <x:c r="F20" s="11"/>
      <x:c r="G20" s="11" t="n">
        <x:f>SUMIF('Декомпозиція'!$A$7:$A$124,B20,'Декомпозиція'!$H$7:$H$124)</x:f>
        <x:v>21.5</x:v>
      </x:c>
      <x:c r="H20" s="12" t="str">
        <x:v>Поточна</x:v>
      </x:c>
    </x:row>
    <x:row r="21" ht="30" customHeight="1">
      <x:c r="A21" s="2" t="str">
        <x:v>Вхід і особисті дані</x:v>
      </x:c>
      <x:c r="B21" s="12" t="n">
        <x:v>12</x:v>
      </x:c>
      <x:c r="C21" s="12" t="str">
        <x:v>Must</x:v>
      </x:c>
      <x:c r="D21" s="11" t="n">
        <x:f>SUMIF('Декомпозиція'!$A$7:$A$124,B21,'Декомпозиція'!$E$7:$E$124)</x:f>
        <x:v>11</x:v>
      </x:c>
      <x:c r="E21" s="11" t="n">
        <x:f>SUMIF('Декомпозиція'!$A$7:$A$124,B21,'Декомпозиція'!$F$7:$F$124)</x:f>
        <x:v>10</x:v>
      </x:c>
      <x:c r="F21" s="11"/>
      <x:c r="G21" s="11" t="n">
        <x:f>SUMIF('Декомпозиція'!$A$7:$A$124,B21,'Декомпозиція'!$H$7:$H$124)</x:f>
        <x:v>21</x:v>
      </x:c>
      <x:c r="H21" s="12" t="str">
        <x:v>Поточна</x:v>
      </x:c>
    </x:row>
    <x:row r="22" ht="30" customHeight="1">
      <x:c r="A22" s="2" t="str">
        <x:v>Звіт на телефоні</x:v>
      </x:c>
      <x:c r="B22" s="12" t="n">
        <x:v>17</x:v>
      </x:c>
      <x:c r="C22" s="12" t="str">
        <x:v>Must</x:v>
      </x:c>
      <x:c r="D22" s="11" t="n">
        <x:f>SUMIF('Декомпозиція'!$A$7:$A$124,B22,'Декомпозиція'!$E$7:$E$124)</x:f>
        <x:v>5.5</x:v>
      </x:c>
      <x:c r="E22" s="11" t="n">
        <x:f>SUMIF('Декомпозиція'!$A$7:$A$124,B22,'Декомпозиція'!$F$7:$F$124)</x:f>
        <x:v>4.5</x:v>
      </x:c>
      <x:c r="F22" s="11"/>
      <x:c r="G22" s="11" t="n">
        <x:f>SUMIF('Декомпозиція'!$A$7:$A$124,B22,'Декомпозиція'!$H$7:$H$124)</x:f>
        <x:v>10</x:v>
      </x:c>
      <x:c r="H22" s="12" t="str">
        <x:v>Поточна</x:v>
      </x:c>
    </x:row>
    <x:row r="23" ht="30" customHeight="1">
      <x:c r="A23" s="2" t="str">
        <x:v>Ціль заощаджень</x:v>
      </x:c>
      <x:c r="B23" s="12" t="n">
        <x:v>5</x:v>
      </x:c>
      <x:c r="C23" s="12" t="str">
        <x:v>Should</x:v>
      </x:c>
      <x:c r="D23" s="11" t="n">
        <x:f>SUMIF('Декомпозиція'!$A$7:$A$124,B23,'Декомпозиція'!$E$7:$E$124)</x:f>
        <x:v>2</x:v>
      </x:c>
      <x:c r="E23" s="11" t="n">
        <x:f>SUMIF('Декомпозиція'!$A$7:$A$124,B23,'Декомпозиція'!$F$7:$F$124)</x:f>
        <x:v>2.5</x:v>
      </x:c>
      <x:c r="F23" s="11"/>
      <x:c r="G23" s="11" t="n">
        <x:f>SUMIF('Декомпозиція'!$A$7:$A$124,B23,'Декомпозиція'!$H$7:$H$124)</x:f>
        <x:v>4.5</x:v>
      </x:c>
      <x:c r="H23" s="12" t="str">
        <x:v>Поточна</x:v>
      </x:c>
    </x:row>
    <x:row r="24" ht="30" customHeight="1">
      <x:c r="A24" s="2" t="str">
        <x:v>Виправлення помилкових операцій</x:v>
      </x:c>
      <x:c r="B24" s="12" t="n">
        <x:v>21</x:v>
      </x:c>
      <x:c r="C24" s="12" t="str">
        <x:v>Should</x:v>
      </x:c>
      <x:c r="D24" s="11" t="n">
        <x:f>SUMIF('Декомпозиція'!$A$7:$A$124,B24,'Декомпозиція'!$E$7:$E$124)</x:f>
        <x:v>10.5</x:v>
      </x:c>
      <x:c r="E24" s="11" t="n">
        <x:f>SUMIF('Декомпозиція'!$A$7:$A$124,B24,'Декомпозиція'!$F$7:$F$124)</x:f>
        <x:v>7.5</x:v>
      </x:c>
      <x:c r="F24" s="11"/>
      <x:c r="G24" s="11" t="n">
        <x:f>SUMIF('Декомпозиція'!$A$7:$A$124,B24,'Декомпозиція'!$H$7:$H$124)</x:f>
        <x:v>18</x:v>
      </x:c>
      <x:c r="H24" s="12" t="str">
        <x:v>Поточна</x:v>
      </x:c>
    </x:row>
    <x:row r="25" ht="30" customHeight="1">
      <x:c r="A25" s="2" t="str">
        <x:v>Ліміти на категорії</x:v>
      </x:c>
      <x:c r="B25" s="12" t="n">
        <x:v>10</x:v>
      </x:c>
      <x:c r="C25" s="12" t="str">
        <x:v>Should</x:v>
      </x:c>
      <x:c r="D25" s="11" t="n">
        <x:f>SUMIF('Декомпозиція'!$A$7:$A$124,B25,'Декомпозиція'!$E$7:$E$124)</x:f>
        <x:v>4.5</x:v>
      </x:c>
      <x:c r="E25" s="11" t="n">
        <x:f>SUMIF('Декомпозиція'!$A$7:$A$124,B25,'Декомпозиція'!$F$7:$F$124)</x:f>
        <x:v>4</x:v>
      </x:c>
      <x:c r="F25" s="11"/>
      <x:c r="G25" s="11" t="n">
        <x:f>SUMIF('Декомпозиція'!$A$7:$A$124,B25,'Декомпозиція'!$H$7:$H$124)</x:f>
        <x:v>8.5</x:v>
      </x:c>
      <x:c r="H25" s="12" t="str">
        <x:v>Поточна</x:v>
      </x:c>
    </x:row>
    <x:row r="26" ht="30" customHeight="1">
      <x:c r="A26" s="2" t="str">
        <x:v>Експорт у таблиці</x:v>
      </x:c>
      <x:c r="B26" s="12" t="n">
        <x:v>14</x:v>
      </x:c>
      <x:c r="C26" s="12" t="str">
        <x:v>Could</x:v>
      </x:c>
      <x:c r="D26" s="11" t="n">
        <x:f>SUMIF('Декомпозиція'!$A$7:$A$124,B26,'Декомпозиція'!$E$7:$E$124)</x:f>
        <x:v>3</x:v>
      </x:c>
      <x:c r="E26" s="11" t="n">
        <x:f>SUMIF('Декомпозиція'!$A$7:$A$124,B26,'Декомпозиція'!$F$7:$F$124)</x:f>
        <x:v>3</x:v>
      </x:c>
      <x:c r="F26" s="11"/>
      <x:c r="G26" s="11" t="n">
        <x:f>SUMIF('Декомпозиція'!$A$7:$A$124,B26,'Декомпозиція'!$H$7:$H$124)</x:f>
        <x:v>6</x:v>
      </x:c>
      <x:c r="H26" s="12" t="str">
        <x:v>Поточна</x:v>
      </x:c>
    </x:row>
    <x:row r="27" ht="30" customHeight="1">
      <x:c r="A27" s="2" t="str">
        <x:v>Звіт у Telegram</x:v>
      </x:c>
      <x:c r="B27" s="12" t="n">
        <x:v>8</x:v>
      </x:c>
      <x:c r="C27" s="12" t="str">
        <x:v>Could</x:v>
      </x:c>
      <x:c r="D27" s="11" t="n">
        <x:f>SUMIF('Декомпозиція'!$A$7:$A$124,B27,'Декомпозиція'!$E$7:$E$124)</x:f>
        <x:v>4</x:v>
      </x:c>
      <x:c r="E27" s="11" t="n">
        <x:f>SUMIF('Декомпозиція'!$A$7:$A$124,B27,'Декомпозиція'!$F$7:$F$124)</x:f>
        <x:v>3.5</x:v>
      </x:c>
      <x:c r="F27" s="11"/>
      <x:c r="G27" s="11" t="n">
        <x:f>SUMIF('Декомпозиція'!$A$7:$A$124,B27,'Декомпозиція'!$H$7:$H$124)</x:f>
        <x:v>7.5</x:v>
      </x:c>
      <x:c r="H27" s="12" t="str">
        <x:v>Поточна</x:v>
      </x:c>
    </x:row>
    <x:row r="28" ht="30" customHeight="1">
      <x:c r="A28" s="2" t="str">
        <x:v>Темна тема</x:v>
      </x:c>
      <x:c r="B28" s="12" t="n">
        <x:v>3</x:v>
      </x:c>
      <x:c r="C28" s="12" t="str">
        <x:v>Could</x:v>
      </x:c>
      <x:c r="D28" s="11" t="n">
        <x:f>SUMIF('Декомпозиція'!$A$7:$A$124,B28,'Декомпозиція'!$E$7:$E$124)</x:f>
        <x:v>2</x:v>
      </x:c>
      <x:c r="E28" s="11" t="n">
        <x:f>SUMIF('Декомпозиція'!$A$7:$A$124,B28,'Декомпозиція'!$F$7:$F$124)</x:f>
        <x:v>2</x:v>
      </x:c>
      <x:c r="F28" s="11"/>
      <x:c r="G28" s="11" t="n">
        <x:f>SUMIF('Декомпозиція'!$A$7:$A$124,B28,'Декомпозиція'!$H$7:$H$124)</x:f>
        <x:v>4</x:v>
      </x:c>
      <x:c r="H28" s="12" t="str">
        <x:v>Поточна</x:v>
      </x:c>
    </x:row>
    <x:row r="29" ht="30" customHeight="1">
      <x:c r="A29" s="22" t="str">
        <x:v>Тренди за рік</x:v>
      </x:c>
      <x:c r="B29" s="20" t="n">
        <x:v>1</x:v>
      </x:c>
      <x:c r="C29" s="20" t="str">
        <x:v>Won’t</x:v>
      </x:c>
      <x:c r="D29" s="30"/>
      <x:c r="E29" s="30"/>
      <x:c r="F29" s="30" t="n">
        <x:f>SUMIF('Декомпозиція'!$A$7:$A$124,B29,'Декомпозиція'!$G$7:$G$124)</x:f>
        <x:v>6</x:v>
      </x:c>
      <x:c r="G29" s="30" t="n">
        <x:f>SUMIF('Декомпозиція'!$A$7:$A$124,B29,'Декомпозиція'!$H$7:$H$124)</x:f>
        <x:v>6</x:v>
      </x:c>
      <x:c r="H29" s="20" t="str">
        <x:v>Історична</x:v>
      </x:c>
    </x:row>
    <x:row r="30" ht="30" customHeight="1">
      <x:c r="A30" s="22" t="str">
        <x:v>AI-категоризація</x:v>
      </x:c>
      <x:c r="B30" s="20" t="n">
        <x:v>4</x:v>
      </x:c>
      <x:c r="C30" s="20" t="str">
        <x:v>Won’t</x:v>
      </x:c>
      <x:c r="D30" s="30"/>
      <x:c r="E30" s="30"/>
      <x:c r="F30" s="30" t="n">
        <x:f>SUMIF('Декомпозиція'!$A$7:$A$124,B30,'Декомпозиція'!$G$7:$G$124)</x:f>
        <x:v>8</x:v>
      </x:c>
      <x:c r="G30" s="30" t="n">
        <x:f>SUMIF('Декомпозиція'!$A$7:$A$124,B30,'Декомпозиція'!$H$7:$H$124)</x:f>
        <x:v>8</x:v>
      </x:c>
      <x:c r="H30" s="20" t="str">
        <x:v>Історична</x:v>
      </x:c>
    </x:row>
    <x:row r="31" ht="30" customHeight="1">
      <x:c r="A31" s="22" t="str">
        <x:v>Застосунок у сторах</x:v>
      </x:c>
      <x:c r="B31" s="20" t="n">
        <x:v>7</x:v>
      </x:c>
      <x:c r="C31" s="20" t="str">
        <x:v>Won’t</x:v>
      </x:c>
      <x:c r="D31" s="30"/>
      <x:c r="E31" s="30"/>
      <x:c r="F31" s="30" t="n">
        <x:f>SUMIF('Декомпозиція'!$A$7:$A$124,B31,'Декомпозиція'!$G$7:$G$124)</x:f>
        <x:v>40</x:v>
      </x:c>
      <x:c r="G31" s="30" t="n">
        <x:f>SUMIF('Декомпозиція'!$A$7:$A$124,B31,'Декомпозиція'!$H$7:$H$124)</x:f>
        <x:v>40</x:v>
      </x:c>
      <x:c r="H31" s="20" t="str">
        <x:v>Історична, мінімум</x:v>
      </x:c>
    </x:row>
    <x:row r="32" ht="30" customHeight="1">
      <x:c r="A32" s="22" t="str">
        <x:v>Фото чека</x:v>
      </x:c>
      <x:c r="B32" s="20" t="n">
        <x:v>11</x:v>
      </x:c>
      <x:c r="C32" s="20" t="str">
        <x:v>Won’t</x:v>
      </x:c>
      <x:c r="D32" s="30"/>
      <x:c r="E32" s="30"/>
      <x:c r="F32" s="30" t="n">
        <x:f>SUMIF('Декомпозиція'!$A$7:$A$124,B32,'Декомпозиція'!$G$7:$G$124)</x:f>
        <x:v>16</x:v>
      </x:c>
      <x:c r="G32" s="30" t="n">
        <x:f>SUMIF('Декомпозиція'!$A$7:$A$124,B32,'Декомпозиція'!$H$7:$H$124)</x:f>
        <x:v>16</x:v>
      </x:c>
      <x:c r="H32" s="20" t="str">
        <x:v>Історична</x:v>
      </x:c>
    </x:row>
    <x:row r="33" ht="30" customHeight="1">
      <x:c r="A33" s="22" t="str">
        <x:v>AI-асистент</x:v>
      </x:c>
      <x:c r="B33" s="20" t="n">
        <x:v>13</x:v>
      </x:c>
      <x:c r="C33" s="20" t="str">
        <x:v>Won’t</x:v>
      </x:c>
      <x:c r="D33" s="30"/>
      <x:c r="E33" s="30"/>
      <x:c r="F33" s="30" t="n">
        <x:f>SUMIF('Декомпозиція'!$A$7:$A$124,B33,'Декомпозиція'!$G$7:$G$124)</x:f>
        <x:v>16</x:v>
      </x:c>
      <x:c r="G33" s="30" t="n">
        <x:f>SUMIF('Декомпозиція'!$A$7:$A$124,B33,'Декомпозиція'!$H$7:$H$124)</x:f>
        <x:v>16</x:v>
      </x:c>
      <x:c r="H33" s="20" t="str">
        <x:v>Історична</x:v>
      </x:c>
    </x:row>
    <x:row r="34" ht="30" customHeight="1">
      <x:c r="A34" s="22" t="str">
        <x:v>Кілька валют</x:v>
      </x:c>
      <x:c r="B34" s="20" t="n">
        <x:v>15</x:v>
      </x:c>
      <x:c r="C34" s="20" t="str">
        <x:v>Won’t</x:v>
      </x:c>
      <x:c r="D34" s="30"/>
      <x:c r="E34" s="30"/>
      <x:c r="F34" s="30" t="n">
        <x:f>SUMIF('Декомпозиція'!$A$7:$A$124,B34,'Декомпозиція'!$G$7:$G$124)</x:f>
        <x:v>12</x:v>
      </x:c>
      <x:c r="G34" s="30" t="n">
        <x:f>SUMIF('Декомпозиція'!$A$7:$A$124,B34,'Декомпозиція'!$H$7:$H$124)</x:f>
        <x:v>12</x:v>
      </x:c>
      <x:c r="H34" s="20" t="str">
        <x:v>Історична</x:v>
      </x:c>
    </x:row>
    <x:row r="35" ht="30" customHeight="1">
      <x:c r="A35" s="22" t="str">
        <x:v>Облік інвестицій</x:v>
      </x:c>
      <x:c r="B35" s="20" t="n">
        <x:v>16</x:v>
      </x:c>
      <x:c r="C35" s="20" t="str">
        <x:v>Won’t</x:v>
      </x:c>
      <x:c r="D35" s="30"/>
      <x:c r="E35" s="30"/>
      <x:c r="F35" s="30" t="n">
        <x:f>SUMIF('Декомпозиція'!$A$7:$A$124,B35,'Декомпозиція'!$G$7:$G$124)</x:f>
        <x:v>16</x:v>
      </x:c>
      <x:c r="G35" s="30" t="n">
        <x:f>SUMIF('Декомпозиція'!$A$7:$A$124,B35,'Декомпозиція'!$H$7:$H$124)</x:f>
        <x:v>16</x:v>
      </x:c>
      <x:c r="H35" s="20" t="str">
        <x:v>Історична</x:v>
      </x:c>
    </x:row>
    <x:row r="36" ht="30" customHeight="1">
      <x:c r="A36" s="22" t="str">
        <x:v>Автозавантаження з банку</x:v>
      </x:c>
      <x:c r="B36" s="20" t="n">
        <x:v>18</x:v>
      </x:c>
      <x:c r="C36" s="20" t="str">
        <x:v>Won’t</x:v>
      </x:c>
      <x:c r="D36" s="30"/>
      <x:c r="E36" s="30"/>
      <x:c r="F36" s="30" t="n">
        <x:f>SUMIF('Декомпозиція'!$A$7:$A$124,B36,'Декомпозиція'!$G$7:$G$124)</x:f>
        <x:v>24</x:v>
      </x:c>
      <x:c r="G36" s="30" t="n">
        <x:f>SUMIF('Декомпозиція'!$A$7:$A$124,B36,'Декомпозиція'!$H$7:$H$124)</x:f>
        <x:v>24</x:v>
      </x:c>
      <x:c r="H36" s="20" t="str">
        <x:v>Історична, мінімум</x:v>
      </x:c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</x:row>
    <x:row r="39" ht="25" customHeight="1">
      <x:c r="A39" s="3" t="str">
        <x:v>Спільні роботи й окрема вимога PRD</x:v>
      </x:c>
      <x:c r="B39" s="2"/>
      <x:c r="C39" s="2"/>
      <x:c r="D39" s="2"/>
      <x:c r="E39" s="2"/>
      <x:c r="F39" s="2"/>
      <x:c r="G39" s="2"/>
      <x:c r="H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</x:row>
    <x:row r="41" ht="32" customHeight="1">
      <x:c r="A41" s="8" t="str">
        <x:v>Блок</x:v>
      </x:c>
      <x:c r="B41" s="8" t="str">
        <x:v>Код</x:v>
      </x:c>
      <x:c r="C41" s="8" t="str">
        <x:v>Призначення</x:v>
      </x:c>
      <x:c r="D41" s="8" t="str">
        <x:v>A, год</x:v>
      </x:c>
      <x:c r="E41" s="8" t="str">
        <x:v>B, год</x:v>
      </x:c>
      <x:c r="F41" s="31" t="str"/>
      <x:c r="G41" s="8" t="str">
        <x:v>Разом, год</x:v>
      </x:c>
      <x:c r="H41" s="8" t="str">
        <x:v>Урахування</x:v>
      </x:c>
    </x:row>
    <x:row r="42" ht="30" customHeight="1">
      <x:c r="A42" s="2" t="str">
        <x:v>Спільна модель і збереження</x:v>
      </x:c>
      <x:c r="B42" s="2" t="str">
        <x:v>S0</x:v>
      </x:c>
      <x:c r="C42" s="2" t="str">
        <x:v>Основа</x:v>
      </x:c>
      <x:c r="D42" s="10" t="n">
        <x:f>SUMIF('Декомпозиція'!$A$7:$A$124,B42,'Декомпозиція'!$E$7:$E$124)</x:f>
        <x:v>7</x:v>
      </x:c>
      <x:c r="E42" s="10" t="n">
        <x:f>SUMIF('Декомпозиція'!$A$7:$A$124,B42,'Декомпозиція'!$F$7:$F$124)</x:f>
        <x:v>3.5</x:v>
      </x:c>
      <x:c r="F42" s="33"/>
      <x:c r="G42" s="10" t="n">
        <x:f>SUMIF('Декомпозиція'!$A$7:$A$124,B42,'Декомпозиція'!$H$7:$H$124)</x:f>
        <x:v>10.5</x:v>
      </x:c>
      <x:c r="H42" s="34" t="str">
        <x:v>Must</x:v>
      </x:c>
    </x:row>
    <x:row r="43" ht="30" customHeight="1">
      <x:c r="A43" s="2" t="str">
        <x:v>Інтеграція та здача Must</x:v>
      </x:c>
      <x:c r="B43" s="2" t="str">
        <x:v>G-M</x:v>
      </x:c>
      <x:c r="C43" s="2" t="str">
        <x:v>Інтеграція</x:v>
      </x:c>
      <x:c r="D43" s="10" t="n">
        <x:f>SUMIF('Декомпозиція'!$A$7:$A$124,B43,'Декомпозиція'!$E$7:$E$124)</x:f>
        <x:v>2.5</x:v>
      </x:c>
      <x:c r="E43" s="10" t="n">
        <x:f>SUMIF('Декомпозиція'!$A$7:$A$124,B43,'Декомпозиція'!$F$7:$F$124)</x:f>
        <x:v>5.5</x:v>
      </x:c>
      <x:c r="F43" s="33"/>
      <x:c r="G43" s="10" t="n">
        <x:f>SUMIF('Декомпозиція'!$A$7:$A$124,B43,'Декомпозиція'!$H$7:$H$124)</x:f>
        <x:v>8</x:v>
      </x:c>
      <x:c r="H43" s="34" t="str">
        <x:v>Must</x:v>
      </x:c>
    </x:row>
    <x:row r="44" ht="30" customHeight="1">
      <x:c r="A44" s="2" t="str">
        <x:v>Перевірка пакета Should</x:v>
      </x:c>
      <x:c r="B44" s="2" t="str">
        <x:v>G-S</x:v>
      </x:c>
      <x:c r="C44" s="2" t="str">
        <x:v>Інтеграція</x:v>
      </x:c>
      <x:c r="D44" s="10" t="n">
        <x:f>SUMIF('Декомпозиція'!$A$7:$A$124,B44,'Декомпозиція'!$E$7:$E$124)</x:f>
        <x:v>0.5</x:v>
      </x:c>
      <x:c r="E44" s="10" t="n">
        <x:f>SUMIF('Декомпозиція'!$A$7:$A$124,B44,'Декомпозиція'!$F$7:$F$124)</x:f>
        <x:v>1.5</x:v>
      </x:c>
      <x:c r="F44" s="33"/>
      <x:c r="G44" s="10" t="n">
        <x:f>SUMIF('Декомпозиція'!$A$7:$A$124,B44,'Декомпозиція'!$H$7:$H$124)</x:f>
        <x:v>2</x:v>
      </x:c>
      <x:c r="H44" s="34" t="str">
        <x:v>Після Should</x:v>
      </x:c>
    </x:row>
    <x:row r="45" ht="30" customHeight="1">
      <x:c r="A45" s="2" t="str">
        <x:v>Перевірка пакета Could</x:v>
      </x:c>
      <x:c r="B45" s="2" t="str">
        <x:v>G-C</x:v>
      </x:c>
      <x:c r="C45" s="2" t="str">
        <x:v>Інтеграція</x:v>
      </x:c>
      <x:c r="D45" s="10" t="n">
        <x:f>SUMIF('Декомпозиція'!$A$7:$A$124,B45,'Декомпозиція'!$E$7:$E$124)</x:f>
        <x:v>0.5</x:v>
      </x:c>
      <x:c r="E45" s="10" t="n">
        <x:f>SUMIF('Декомпозиція'!$A$7:$A$124,B45,'Декомпозиція'!$F$7:$F$124)</x:f>
        <x:v>1.5</x:v>
      </x:c>
      <x:c r="F45" s="33"/>
      <x:c r="G45" s="10" t="n">
        <x:f>SUMIF('Декомпозиція'!$A$7:$A$124,B45,'Декомпозиція'!$H$7:$H$124)</x:f>
        <x:v>2</x:v>
      </x:c>
      <x:c r="H45" s="34" t="str">
        <x:v>Після Could</x:v>
      </x:c>
    </x:row>
    <x:row r="46" ht="30" customHeight="1">
      <x:c r="A46" s="2" t="str">
        <x:v>Періоди Олі між зарплатами</x:v>
      </x:c>
      <x:c r="B46" s="2" t="str">
        <x:v>P1</x:v>
      </x:c>
      <x:c r="C46" s="2" t="str">
        <x:v>Окремо</x:v>
      </x:c>
      <x:c r="D46" s="10" t="n">
        <x:f>SUMIF('Декомпозиція'!$A$7:$A$124,B46,'Декомпозиція'!$E$7:$E$124)</x:f>
        <x:v>3</x:v>
      </x:c>
      <x:c r="E46" s="10" t="n">
        <x:f>SUMIF('Декомпозиція'!$A$7:$A$124,B46,'Декомпозиція'!$F$7:$F$124)</x:f>
        <x:v>3</x:v>
      </x:c>
      <x:c r="F46" s="33"/>
      <x:c r="G46" s="10" t="n">
        <x:f>SUMIF('Декомпозиція'!$A$7:$A$124,B46,'Декомпозиція'!$H$7:$H$124)</x:f>
        <x:v>6</x:v>
      </x:c>
      <x:c r="H46" s="34" t="str">
        <x:v>Не входить у Must</x:v>
      </x:c>
    </x:row>
    <x:row r="47" ht="25" customHeight="1">
      <x:c r="A47" s="2"/>
      <x:c r="B47" s="2"/>
      <x:c r="C47" s="2"/>
      <x:c r="D47" s="2"/>
      <x:c r="E47" s="2"/>
      <x:c r="F47" s="2"/>
      <x:c r="G47" s="2"/>
      <x:c r="H47" s="2"/>
    </x:row>
    <x:row r="48" ht="25" customHeight="1">
      <x:c r="A48" s="2"/>
      <x:c r="B48" s="2"/>
      <x:c r="C48" s="2"/>
      <x:c r="D48" s="2"/>
      <x:c r="E48" s="42" t="str">
        <x:v>Без резерву</x:v>
      </x:c>
      <x:c r="F48" s="42"/>
      <x:c r="G48" s="42" t="str">
        <x:v>Із резервом</x:v>
      </x:c>
      <x:c r="H48" s="2"/>
    </x:row>
    <x:row r="49" ht="25" customHeight="1">
      <x:c r="A49" s="2" t="str">
        <x:v>Must із зарплатними періодами</x:v>
      </x:c>
      <x:c r="B49" s="2"/>
      <x:c r="C49" s="2"/>
      <x:c r="D49" s="2"/>
      <x:c r="E49" s="35" t="n">
        <x:f>SUM(E5,G46)</x:f>
        <x:v>104.5</x:v>
      </x:c>
      <x:c r="F49" s="35"/>
      <x:c r="G49" s="35" t="n">
        <x:f>E49/(1-$B$10)</x:f>
        <x:v>139.33333333333334</x:v>
      </x:c>
      <x:c r="H49" s="2"/>
    </x:row>
    <x:row r="50" ht="25" customHeight="1">
      <x:c r="A50" s="2"/>
      <x:c r="B50" s="2"/>
      <x:c r="C50" s="2"/>
      <x:c r="D50" s="2"/>
      <x:c r="E50" s="2"/>
      <x:c r="F50" s="2"/>
      <x:c r="G50" s="2"/>
      <x:c r="H50" s="2"/>
    </x:row>
    <x:row r="51" ht="25" customHeight="1">
      <x:c r="A51" s="4" t="str">
        <x:v>№19 — у №2; №20 і №22 — у №9. Окремих годин на них повторно не додано.</x:v>
      </x:c>
      <x:c r="B51" s="4"/>
      <x:c r="C51" s="4"/>
      <x:c r="D51" s="4"/>
      <x:c r="E51" s="4"/>
      <x:c r="F51" s="4"/>
      <x:c r="G51" s="4"/>
      <x:c r="H51" s="4"/>
    </x:row>
    <x:row r="52" ht="25" customHeight="1">
      <x:c r="A52" s="4" t="str">
        <x:v>Історичні оцінки збережено з початкового плану. Для запуску їх потрібно переоцінити.</x:v>
      </x:c>
      <x:c r="B52" s="4"/>
      <x:c r="C52" s="4"/>
      <x:c r="D52" s="4"/>
      <x:c r="E52" s="4"/>
      <x:c r="F52" s="4"/>
      <x:c r="G52" s="4"/>
      <x:c r="H52" s="4"/>
    </x:row>
    <x:row r="53" ht="25" customHeight="1">
      <x:c r="A53" s="4" t="str">
        <x:v>№7 — нижня межа для оболонки готової вебверсії; №18 — лише за доступного API двох банків.</x:v>
      </x:c>
      <x:c r="B53" s="4"/>
      <x:c r="C53" s="4"/>
      <x:c r="D53" s="4"/>
      <x:c r="E53" s="4"/>
      <x:c r="F53" s="4"/>
      <x:c r="G53" s="4"/>
      <x:c r="H53" s="4"/>
    </x:row>
    <x:row r="54" ht="25" customHeight="1">
      <x:c r="A54" s="4" t="str">
        <x:v>Години у жовтих клітинках на аркуші «Декомпозиція» змінюють підсумок автоматично.</x:v>
      </x:c>
      <x:c r="B54" s="4"/>
      <x:c r="C54" s="4"/>
      <x:c r="D54" s="4"/>
      <x:c r="E54" s="4"/>
      <x:c r="F54" s="4"/>
      <x:c r="G54" s="4"/>
      <x:c r="H54" s="4"/>
    </x:row>
  </x:sheetData>
  <x:pageMargins left="0.7" right="0.7" top="0.75" bottom="0.75" header="0.3" footer="0.3"/>
  <x:tableParts count="1">
    <x:tablePart xmlns:r="http://schemas.openxmlformats.org/officeDocument/2006/relationships" r:id="Rdacc5754341b48ec"/>
  </x:tableParts>
</x:worksheet>
</file>

<file path=xl/worksheets/sheet2.xml><?xml version="1.0" encoding="utf-8"?>
<x:worksheet xmlns:x="http://schemas.openxmlformats.org/spreadsheetml/2006/main">
  <x:sheetPr>
    <x:tabColor rgb="FFA5BCD2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11" hidden="0" customWidth="1"/>
    <x:col min="3" max="3" width="13" hidden="0" customWidth="1"/>
    <x:col min="4" max="4" width="76" hidden="0" customWidth="1"/>
    <x:col min="5" max="5" width="13" hidden="0" customWidth="1"/>
    <x:col min="6" max="6" width="13" hidden="0" customWidth="1"/>
    <x:col min="7" max="7" width="15" hidden="0" customWidth="1"/>
    <x:col min="8" max="8" width="12" hidden="0" customWidth="1"/>
    <x:col min="9" max="9" width="22" hidden="0" customWidth="1"/>
    <x:col min="10" max="10" width="3" hidden="0" customWidth="1"/>
    <x:col min="11" max="11" width="43" hidden="0" customWidth="1"/>
    <x:col min="12" max="12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Підзадачі та оцінки часу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A — підготовка й реалізація з Codex. B — перевірка людиною. Час моделі окремо не додається.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4" t="str">
        <x:v>Історичні години не розподілено на A/B. Вони не входять до активного плану. Жовті клітинки можна змінювати.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8" t="str">
        <x:v>№ / блок</x:v>
      </x:c>
      <x:c r="B6" s="8" t="str">
        <x:v>Код кроку</x:v>
      </x:c>
      <x:c r="C6" s="8" t="str">
        <x:v>MoSCoW</x:v>
      </x:c>
      <x:c r="D6" s="8" t="str">
        <x:v>Підзадача</x:v>
      </x:c>
      <x:c r="E6" s="8" t="str">
        <x:v>A, год</x:v>
      </x:c>
      <x:c r="F6" s="8" t="str">
        <x:v>B, год</x:v>
      </x:c>
      <x:c r="G6" s="8" t="str">
        <x:v>Історичні, год</x:v>
      </x:c>
      <x:c r="H6" s="8" t="str">
        <x:v>Разом, год</x:v>
      </x:c>
      <x:c r="I6" s="8" t="str">
        <x:v>Оцінка</x:v>
      </x:c>
      <x:c r="J6" s="2"/>
      <x:c r="K6" s="8" t="str">
        <x:v>Джерело оцінки</x:v>
      </x:c>
      <x:c r="L6" s="8" t="str">
        <x:v>Передумови й межі</x:v>
      </x:c>
    </x:row>
    <x:row r="7" ht="38" customHeight="1">
      <x:c r="A7" s="15" t="n">
        <x:v>2</x:v>
      </x:c>
      <x:c r="B7" s="15" t="str">
        <x:v>2.1</x:v>
      </x:c>
      <x:c r="C7" s="15" t="str">
        <x:v>Must</x:v>
      </x:c>
      <x:c r="D7" s="16" t="str">
        <x:v>Відокремити читання/перетворення/запис наявного імпортера й параметризувати джерела без регресії Олі</x:v>
      </x:c>
      <x:c r="E7" s="17" t="n">
        <x:v>1</x:v>
      </x:c>
      <x:c r="F7" s="17" t="n">
        <x:v>0.5</x:v>
      </x:c>
      <x:c r="G7" s="18"/>
      <x:c r="H7" s="18" t="n">
        <x:f>IF(COUNT(E7:F7)=2,SUM(E7:F7),NA())</x:f>
        <x:v>1.5</x:v>
      </x:c>
      <x:c r="I7" s="15" t="str">
        <x:v>Поточна</x:v>
      </x:c>
      <x:c r="J7" s="2"/>
      <x:c r="K7" s="9" t="str">
        <x:v>Аналіз коду №12, 2.1</x:v>
      </x:c>
      <x:c r="L7" s="9" t="str">
        <x:v>S0; модель №9. Два відомі CSV, імпорт оператором, PLN.</x:v>
      </x:c>
    </x:row>
    <x:row r="8" ht="38" customHeight="1">
      <x:c r="A8" s="12" t="n">
        <x:v>2</x:v>
      </x:c>
      <x:c r="B8" s="12" t="str">
        <x:v>2.2</x:v>
      </x:c>
      <x:c r="C8" s="12" t="str">
        <x:v>Must</x:v>
      </x:c>
      <x:c r="D8" s="9" t="str">
        <x:v>Адаптер CSV Марка: службові рядки, ';', польські дати, коми/пробіли, знак суми й порядок залишків</x:v>
      </x:c>
      <x:c r="E8" s="14" t="n">
        <x:v>2</x:v>
      </x:c>
      <x:c r="F8" s="14" t="n">
        <x:v>1</x:v>
      </x:c>
      <x:c r="G8" s="11"/>
      <x:c r="H8" s="11" t="n">
        <x:f>IF(COUNT(E8:F8)=2,SUM(E8:F8),NA())</x:f>
        <x:v>3</x:v>
      </x:c>
      <x:c r="I8" s="12" t="str">
        <x:v>Поточна</x:v>
      </x:c>
      <x:c r="J8" s="2"/>
      <x:c r="K8" s="9" t="str">
        <x:v>Аналіз коду №12, 2.2</x:v>
      </x:c>
      <x:c r="L8" s="9" t="str">
        <x:v>S0; модель №9. Два відомі CSV, імпорт оператором, PLN.</x:v>
      </x:c>
    </x:row>
    <x:row r="9" ht="38" customHeight="1">
      <x:c r="A9" s="12" t="n">
        <x:v>2</x:v>
      </x:c>
      <x:c r="B9" s="12" t="str">
        <x:v>2.3</x:v>
      </x:c>
      <x:c r="C9" s="12" t="str">
        <x:v>Must</x:v>
      </x:c>
      <x:c r="D9" s="9" t="str">
        <x:v>Маппінг у схему S0, власник/банк/стійкий ID і повтори в межах джерела; перекриття файлів</x:v>
      </x:c>
      <x:c r="E9" s="14" t="n">
        <x:v>1.5</x:v>
      </x:c>
      <x:c r="F9" s="14" t="n">
        <x:v>1</x:v>
      </x:c>
      <x:c r="G9" s="11"/>
      <x:c r="H9" s="11" t="n">
        <x:f>IF(COUNT(E9:F9)=2,SUM(E9:F9),NA())</x:f>
        <x:v>2.5</x:v>
      </x:c>
      <x:c r="I9" s="12" t="str">
        <x:v>Поточна</x:v>
      </x:c>
      <x:c r="J9" s="2"/>
      <x:c r="K9" s="9" t="str">
        <x:v>Аналіз коду №12, 2.3</x:v>
      </x:c>
      <x:c r="L9" s="9" t="str">
        <x:v>S0; модель №9. Два відомі CSV, імпорт оператором, PLN.</x:v>
      </x:c>
    </x:row>
    <x:row r="10" ht="38" customHeight="1">
      <x:c r="A10" s="12" t="n">
        <x:v>2</x:v>
      </x:c>
      <x:c r="B10" s="12" t="str">
        <x:v>2.4</x:v>
      </x:c>
      <x:c r="C10" s="12" t="str">
        <x:v>Must</x:v>
      </x:c>
      <x:c r="D10" s="9" t="str">
        <x:v>Окремі банківські рахунки/початкові залишки, розширення правил Марка, категорій і balance-тверджень</x:v>
      </x:c>
      <x:c r="E10" s="14" t="n">
        <x:v>1.5</x:v>
      </x:c>
      <x:c r="F10" s="14" t="n">
        <x:v>1</x:v>
      </x:c>
      <x:c r="G10" s="11"/>
      <x:c r="H10" s="11" t="n">
        <x:f>IF(COUNT(E10:F10)=2,SUM(E10:F10),NA())</x:f>
        <x:v>2.5</x:v>
      </x:c>
      <x:c r="I10" s="12" t="str">
        <x:v>Поточна</x:v>
      </x:c>
      <x:c r="J10" s="2"/>
      <x:c r="K10" s="9" t="str">
        <x:v>Аналіз коду №12, 2.4</x:v>
      </x:c>
      <x:c r="L10" s="9" t="str">
        <x:v>S0; модель №9. Два відомі CSV, імпорт оператором, PLN.</x:v>
      </x:c>
    </x:row>
    <x:row r="11" ht="38" customHeight="1">
      <x:c r="A11" s="12" t="n">
        <x:v>2</x:v>
      </x:c>
      <x:c r="B11" s="12" t="str">
        <x:v>2.5</x:v>
      </x:c>
      <x:c r="C11" s="12" t="str">
        <x:v>Must</x:v>
      </x:c>
      <x:c r="D11" s="9" t="str">
        <x:v>Явний шлях зовнішньої виписки, команда запуску, помилки формату й відхилення непідтриманої валюти</x:v>
      </x:c>
      <x:c r="E11" s="14" t="n">
        <x:v>0.5</x:v>
      </x:c>
      <x:c r="F11" s="14" t="n">
        <x:v>0.5</x:v>
      </x:c>
      <x:c r="G11" s="11"/>
      <x:c r="H11" s="11" t="n">
        <x:f>IF(COUNT(E11:F11)=2,SUM(E11:F11),NA())</x:f>
        <x:v>1</x:v>
      </x:c>
      <x:c r="I11" s="12" t="str">
        <x:v>Поточна</x:v>
      </x:c>
      <x:c r="J11" s="2"/>
      <x:c r="K11" s="9" t="str">
        <x:v>Аналіз коду №12, 2.5</x:v>
      </x:c>
      <x:c r="L11" s="9" t="str">
        <x:v>S0; модель №9. Два відомі CSV, імпорт оператором, PLN.</x:v>
      </x:c>
    </x:row>
    <x:row r="12" ht="38" customHeight="1">
      <x:c r="A12" s="12" t="n">
        <x:v>2</x:v>
      </x:c>
      <x:c r="B12" s="12" t="str">
        <x:v>2.6</x:v>
      </x:c>
      <x:c r="C12" s="12" t="str">
        <x:v>Must</x:v>
      </x:c>
      <x:c r="D12" s="9" t="str">
        <x:v>Підготувати перевірки й вручну звірити чотири контрольні суми, залишки, повтори, порядок та відсутність втрат</x:v>
      </x:c>
      <x:c r="E12" s="14" t="n">
        <x:v>1</x:v>
      </x:c>
      <x:c r="F12" s="14" t="n">
        <x:v>2</x:v>
      </x:c>
      <x:c r="G12" s="11"/>
      <x:c r="H12" s="11" t="n">
        <x:f>IF(COUNT(E12:F12)=2,SUM(E12:F12),NA())</x:f>
        <x:v>3</x:v>
      </x:c>
      <x:c r="I12" s="12" t="str">
        <x:v>Поточна</x:v>
      </x:c>
      <x:c r="J12" s="2"/>
      <x:c r="K12" s="9" t="str">
        <x:v>Аналіз коду №12, 2.6</x:v>
      </x:c>
      <x:c r="L12" s="9" t="str">
        <x:v>S0; модель №9. Два відомі CSV, імпорт оператором, PLN.</x:v>
      </x:c>
    </x:row>
    <x:row r="13" ht="38" customHeight="1">
      <x:c r="A13" s="12" t="n">
        <x:v>2</x:v>
      </x:c>
      <x:c r="B13" s="12" t="str">
        <x:v>2.7</x:v>
      </x:c>
      <x:c r="C13" s="12" t="str">
        <x:v>Must</x:v>
      </x:c>
      <x:c r="D13" s="9" t="str">
        <x:v>Очікуваний цикл виправлень імпорту/правил після перевірки та повторний bean-check</x:v>
      </x:c>
      <x:c r="E13" s="14" t="n">
        <x:v>0.5</x:v>
      </x:c>
      <x:c r="F13" s="14" t="n">
        <x:v>0.5</x:v>
      </x:c>
      <x:c r="G13" s="11"/>
      <x:c r="H13" s="11" t="n">
        <x:f>IF(COUNT(E13:F13)=2,SUM(E13:F13),NA())</x:f>
        <x:v>1</x:v>
      </x:c>
      <x:c r="I13" s="12" t="str">
        <x:v>Поточна</x:v>
      </x:c>
      <x:c r="J13" s="2"/>
      <x:c r="K13" s="9" t="str">
        <x:v>Аналіз коду №12, 2.7</x:v>
      </x:c>
      <x:c r="L13" s="9" t="str">
        <x:v>S0; модель №9. Два відомі CSV, імпорт оператором, PLN.</x:v>
      </x:c>
    </x:row>
    <x:row r="14" ht="38" customHeight="1">
      <x:c r="A14" s="15" t="n">
        <x:v>6</x:v>
      </x:c>
      <x:c r="B14" s="15" t="str">
        <x:v>6.1</x:v>
      </x:c>
      <x:c r="C14" s="15" t="str">
        <x:v>Must</x:v>
      </x:c>
      <x:c r="D14" s="16" t="str">
        <x:v>Мобільна форма з типовою датою, доступними категоріями й зрозумілими помилками</x:v>
      </x:c>
      <x:c r="E14" s="17" t="n">
        <x:v>1</x:v>
      </x:c>
      <x:c r="F14" s="17" t="n">
        <x:v>0.5</x:v>
      </x:c>
      <x:c r="G14" s="18"/>
      <x:c r="H14" s="18" t="n">
        <x:f>IF(COUNT(E14:F14)=2,SUM(E14:F14),NA())</x:f>
        <x:v>1.5</x:v>
      </x:c>
      <x:c r="I14" s="15" t="str">
        <x:v>Поточна</x:v>
      </x:c>
      <x:c r="J14" s="2"/>
      <x:c r="K14" s="9" t="str">
        <x:v>Аналіз коду №12, 6.1</x:v>
      </x:c>
      <x:c r="L14" s="9" t="str">
        <x:v>S0, №9/12/17. Форма й окремі ручні записи; сховище та вхід повторно не будуємо.</x:v>
      </x:c>
    </x:row>
    <x:row r="15" ht="38" customHeight="1">
      <x:c r="A15" s="12" t="n">
        <x:v>6</x:v>
      </x:c>
      <x:c r="B15" s="12" t="str">
        <x:v>6.2</x:v>
      </x:c>
      <x:c r="C15" s="12" t="str">
        <x:v>Must</x:v>
      </x:c>
      <x:c r="D15" s="9" t="str">
        <x:v>Серверний запис: валідація PLN/дати/суми, власник із сесії, підключення готового захисту запиту</x:v>
      </x:c>
      <x:c r="E15" s="14" t="n">
        <x:v>1</x:v>
      </x:c>
      <x:c r="F15" s="14" t="n">
        <x:v>0.5</x:v>
      </x:c>
      <x:c r="G15" s="11"/>
      <x:c r="H15" s="11" t="n">
        <x:f>IF(COUNT(E15:F15)=2,SUM(E15:F15),NA())</x:f>
        <x:v>1.5</x:v>
      </x:c>
      <x:c r="I15" s="12" t="str">
        <x:v>Поточна</x:v>
      </x:c>
      <x:c r="J15" s="2"/>
      <x:c r="K15" s="9" t="str">
        <x:v>Аналіз коду №12, 6.2</x:v>
      </x:c>
      <x:c r="L15" s="9" t="str">
        <x:v>S0, №9/12/17. Форма й окремі ручні записи; сховище та вхід повторно не будуємо.</x:v>
      </x:c>
    </x:row>
    <x:row r="16" ht="38" customHeight="1">
      <x:c r="A16" s="12" t="n">
        <x:v>6</x:v>
      </x:c>
      <x:c r="B16" s="12" t="str">
        <x:v>6.3</x:v>
      </x:c>
      <x:c r="C16" s="12" t="str">
        <x:v>Must</x:v>
      </x:c>
      <x:c r="D16" s="9" t="str">
        <x:v>Запис через S0, унікальний ключ надсилання й захист подвійного натискання</x:v>
      </x:c>
      <x:c r="E16" s="14" t="n">
        <x:v>1</x:v>
      </x:c>
      <x:c r="F16" s="14" t="n">
        <x:v>0.5</x:v>
      </x:c>
      <x:c r="G16" s="11"/>
      <x:c r="H16" s="11" t="n">
        <x:f>IF(COUNT(E16:F16)=2,SUM(E16:F16),NA())</x:f>
        <x:v>1.5</x:v>
      </x:c>
      <x:c r="I16" s="12" t="str">
        <x:v>Поточна</x:v>
      </x:c>
      <x:c r="J16" s="2"/>
      <x:c r="K16" s="9" t="str">
        <x:v>Аналіз коду №12, 6.3</x:v>
      </x:c>
      <x:c r="L16" s="9" t="str">
        <x:v>S0, №9/12/17. Форма й окремі ручні записи; сховище та вхід повторно не будуємо.</x:v>
      </x:c>
    </x:row>
    <x:row r="17" ht="38" customHeight="1">
      <x:c r="A17" s="12" t="n">
        <x:v>6</x:v>
      </x:c>
      <x:c r="B17" s="12" t="str">
        <x:v>6.4</x:v>
      </x:c>
      <x:c r="C17" s="12" t="str">
        <x:v>Must</x:v>
      </x:c>
      <x:c r="D17" s="9" t="str">
        <x:v>Готівковий рахунок/початкові кошти, переказ банку в готівку і покупка як різні події; відсутність подвійних витрат</x:v>
      </x:c>
      <x:c r="E17" s="14" t="n">
        <x:v>2</x:v>
      </x:c>
      <x:c r="F17" s="14" t="n">
        <x:v>1</x:v>
      </x:c>
      <x:c r="G17" s="11"/>
      <x:c r="H17" s="11" t="n">
        <x:f>IF(COUNT(E17:F17)=2,SUM(E17:F17),NA())</x:f>
        <x:v>3</x:v>
      </x:c>
      <x:c r="I17" s="12" t="str">
        <x:v>Поточна</x:v>
      </x:c>
      <x:c r="J17" s="2"/>
      <x:c r="K17" s="9" t="str">
        <x:v>Аналіз коду №12, 6.4</x:v>
      </x:c>
      <x:c r="L17" s="9" t="str">
        <x:v>S0, №9/12/17. Форма й окремі ручні записи; сховище та вхід повторно не будуємо.</x:v>
      </x:c>
    </x:row>
    <x:row r="18" ht="38" customHeight="1">
      <x:c r="A18" s="12" t="n">
        <x:v>6</x:v>
      </x:c>
      <x:c r="B18" s="12" t="str">
        <x:v>6.5</x:v>
      </x:c>
      <x:c r="C18" s="12" t="str">
        <x:v>Must</x:v>
      </x:c>
      <x:c r="D18" s="9" t="str">
        <x:v>Включення ручної операції в готові вибірки 9/17 без зміни банківського залишку</x:v>
      </x:c>
      <x:c r="E18" s="14" t="n">
        <x:v>1</x:v>
      </x:c>
      <x:c r="F18" s="14" t="n">
        <x:v>0.5</x:v>
      </x:c>
      <x:c r="G18" s="11"/>
      <x:c r="H18" s="11" t="n">
        <x:f>IF(COUNT(E18:F18)=2,SUM(E18:F18),NA())</x:f>
        <x:v>1.5</x:v>
      </x:c>
      <x:c r="I18" s="12" t="str">
        <x:v>Поточна</x:v>
      </x:c>
      <x:c r="J18" s="2"/>
      <x:c r="K18" s="9" t="str">
        <x:v>Аналіз коду №12, 6.5</x:v>
      </x:c>
      <x:c r="L18" s="9" t="str">
        <x:v>S0, №9/12/17. Форма й окремі ручні записи; сховище та вхід повторно не будуємо.</x:v>
      </x:c>
    </x:row>
    <x:row r="19" ht="38" customHeight="1">
      <x:c r="A19" s="12" t="n">
        <x:v>6</x:v>
      </x:c>
      <x:c r="B19" s="12" t="str">
        <x:v>6.6</x:v>
      </x:c>
      <x:c r="C19" s="12" t="str">
        <x:v>Must</x:v>
      </x:c>
      <x:c r="D19" s="9" t="str">
        <x:v>Перевірки з телефона, повторного запиту, перезапуску, імпорту, прав і коректного залишку готівки</x:v>
      </x:c>
      <x:c r="E19" s="14" t="n">
        <x:v>1</x:v>
      </x:c>
      <x:c r="F19" s="14" t="n">
        <x:v>2</x:v>
      </x:c>
      <x:c r="G19" s="11"/>
      <x:c r="H19" s="11" t="n">
        <x:f>IF(COUNT(E19:F19)=2,SUM(E19:F19),NA())</x:f>
        <x:v>3</x:v>
      </x:c>
      <x:c r="I19" s="12" t="str">
        <x:v>Поточна</x:v>
      </x:c>
      <x:c r="J19" s="2"/>
      <x:c r="K19" s="9" t="str">
        <x:v>Аналіз коду №12, 6.6</x:v>
      </x:c>
      <x:c r="L19" s="9" t="str">
        <x:v>S0, №9/12/17. Форма й окремі ручні записи; сховище та вхід повторно не будуємо.</x:v>
      </x:c>
    </x:row>
    <x:row r="20" ht="38" customHeight="1">
      <x:c r="A20" s="12" t="n">
        <x:v>6</x:v>
      </x:c>
      <x:c r="B20" s="12" t="str">
        <x:v>6.7</x:v>
      </x:c>
      <x:c r="C20" s="12" t="str">
        <x:v>Must</x:v>
      </x:c>
      <x:c r="D20" s="9" t="str">
        <x:v>Цикл виправлень знайдених помилок та повторна перевірка</x:v>
      </x:c>
      <x:c r="E20" s="14" t="n">
        <x:v>0.5</x:v>
      </x:c>
      <x:c r="F20" s="14" t="n">
        <x:v>0.5</x:v>
      </x:c>
      <x:c r="G20" s="11"/>
      <x:c r="H20" s="11" t="n">
        <x:f>IF(COUNT(E20:F20)=2,SUM(E20:F20),NA())</x:f>
        <x:v>1</x:v>
      </x:c>
      <x:c r="I20" s="12" t="str">
        <x:v>Поточна</x:v>
      </x:c>
      <x:c r="J20" s="2"/>
      <x:c r="K20" s="9" t="str">
        <x:v>Аналіз коду №12, 6.7</x:v>
      </x:c>
      <x:c r="L20" s="9" t="str">
        <x:v>S0, №9/12/17. Форма й окремі ручні записи; сховище та вхід повторно не будуємо.</x:v>
      </x:c>
    </x:row>
    <x:row r="21" ht="38" customHeight="1">
      <x:c r="A21" s="15" t="n">
        <x:v>9</x:v>
      </x:c>
      <x:c r="B21" s="15" t="str">
        <x:v>9.1</x:v>
      </x:c>
      <x:c r="C21" s="15" t="str">
        <x:v>Must</x:v>
      </x:c>
      <x:c r="D21" s="16" t="str">
        <x:v>Узгодити семантику спільної суми, особистої частини, округлення, повернень і напрямку боргу</x:v>
      </x:c>
      <x:c r="E21" s="17" t="n">
        <x:v>1</x:v>
      </x:c>
      <x:c r="F21" s="17" t="n">
        <x:v>0.5</x:v>
      </x:c>
      <x:c r="G21" s="18"/>
      <x:c r="H21" s="18" t="n">
        <x:f>IF(COUNT(E21:F21)=2,SUM(E21:F21),NA())</x:f>
        <x:v>1.5</x:v>
      </x:c>
      <x:c r="I21" s="15" t="str">
        <x:v>Поточна</x:v>
      </x:c>
      <x:c r="J21" s="2"/>
      <x:c r="K21" s="9" t="str">
        <x:v>Аналіз коду №12, 9.1</x:v>
      </x:c>
      <x:c r="L21" s="9" t="str">
        <x:v>S0, №2; записи №6. Двоє, 50/50, змішані суми, підтвердження погашення.</x:v>
      </x:c>
    </x:row>
    <x:row r="22" ht="38" customHeight="1">
      <x:c r="A22" s="12" t="n">
        <x:v>9</x:v>
      </x:c>
      <x:c r="B22" s="12" t="str">
        <x:v>9.2</x:v>
      </x:c>
      <x:c r="C22" s="12" t="str">
        <x:v>Must</x:v>
      </x:c>
      <x:c r="D22" s="9" t="str">
        <x:v>Розрахунок часток та економічних витрат окремо від грошового руху платника</x:v>
      </x:c>
      <x:c r="E22" s="14" t="n">
        <x:v>2</x:v>
      </x:c>
      <x:c r="F22" s="14" t="n">
        <x:v>1.5</x:v>
      </x:c>
      <x:c r="G22" s="11"/>
      <x:c r="H22" s="11" t="n">
        <x:f>IF(COUNT(E22:F22)=2,SUM(E22:F22),NA())</x:f>
        <x:v>3.5</x:v>
      </x:c>
      <x:c r="I22" s="12" t="str">
        <x:v>Поточна</x:v>
      </x:c>
      <x:c r="J22" s="2"/>
      <x:c r="K22" s="9" t="str">
        <x:v>Аналіз коду №12, 9.2</x:v>
      </x:c>
      <x:c r="L22" s="9" t="str">
        <x:v>S0, №2; записи №6. Двоє, 50/50, змішані суми, підтвердження погашення.</x:v>
      </x:c>
    </x:row>
    <x:row r="23" ht="38" customHeight="1">
      <x:c r="A23" s="12" t="n">
        <x:v>9</x:v>
      </x:c>
      <x:c r="B23" s="12" t="str">
        <x:v>9.3</x:v>
      </x:c>
      <x:c r="C23" s="12" t="str">
        <x:v>Must</x:v>
      </x:c>
      <x:c r="D23" s="9" t="str">
        <x:v>Правила 50/50 для узгоджених витрат, особисті винятки й стійке збереження вибору через S0</x:v>
      </x:c>
      <x:c r="E23" s="14" t="n">
        <x:v>1</x:v>
      </x:c>
      <x:c r="F23" s="14" t="n">
        <x:v>0.5</x:v>
      </x:c>
      <x:c r="G23" s="11"/>
      <x:c r="H23" s="11" t="n">
        <x:f>IF(COUNT(E23:F23)=2,SUM(E23:F23),NA())</x:f>
        <x:v>1.5</x:v>
      </x:c>
      <x:c r="I23" s="12" t="str">
        <x:v>Поточна</x:v>
      </x:c>
      <x:c r="J23" s="2"/>
      <x:c r="K23" s="9" t="str">
        <x:v>Аналіз коду №12, 9.3</x:v>
      </x:c>
      <x:c r="L23" s="9" t="str">
        <x:v>S0, №2; записи №6. Двоє, 50/50, змішані суми, підтвердження погашення.</x:v>
      </x:c>
    </x:row>
    <x:row r="24" ht="38" customHeight="1">
      <x:c r="A24" s="12" t="n">
        <x:v>9</x:v>
      </x:c>
      <x:c r="B24" s="12" t="str">
        <x:v>9.4</x:v>
      </x:c>
      <x:c r="C24" s="12" t="str">
        <x:v>Must</x:v>
      </x:c>
      <x:c r="D24" s="9" t="str">
        <x:v>Погашення: сума/дата, часткова оплата, перехід між місяцями, явне зв’язування банківського/ручного запису й двох сторін переказу</x:v>
      </x:c>
      <x:c r="E24" s="14" t="n">
        <x:v>3</x:v>
      </x:c>
      <x:c r="F24" s="14" t="n">
        <x:v>1.5</x:v>
      </x:c>
      <x:c r="G24" s="11"/>
      <x:c r="H24" s="11" t="n">
        <x:f>IF(COUNT(E24:F24)=2,SUM(E24:F24),NA())</x:f>
        <x:v>4.5</x:v>
      </x:c>
      <x:c r="I24" s="12" t="str">
        <x:v>Поточна</x:v>
      </x:c>
      <x:c r="J24" s="2"/>
      <x:c r="K24" s="9" t="str">
        <x:v>Аналіз коду №12, 9.4</x:v>
      </x:c>
      <x:c r="L24" s="9" t="str">
        <x:v>S0, №2; записи №6. Двоє, 50/50, змішані суми, підтвердження погашення.</x:v>
      </x:c>
    </x:row>
    <x:row r="25" ht="38" customHeight="1">
      <x:c r="A25" s="12" t="n">
        <x:v>9</x:v>
      </x:c>
      <x:c r="B25" s="12" t="str">
        <x:v>9.5</x:v>
      </x:c>
      <x:c r="C25" s="12" t="str">
        <x:v>Must</x:v>
      </x:c>
      <x:c r="D25" s="9" t="str">
        <x:v>Мінімальні форми спільної суми/особистого винятку й підтвердження погашення на готовому сервері</x:v>
      </x:c>
      <x:c r="E25" s="14" t="n">
        <x:v>1.5</x:v>
      </x:c>
      <x:c r="F25" s="14" t="n">
        <x:v>1</x:v>
      </x:c>
      <x:c r="G25" s="11"/>
      <x:c r="H25" s="11" t="n">
        <x:f>IF(COUNT(E25:F25)=2,SUM(E25:F25),NA())</x:f>
        <x:v>2.5</x:v>
      </x:c>
      <x:c r="I25" s="12" t="str">
        <x:v>Поточна</x:v>
      </x:c>
      <x:c r="J25" s="2"/>
      <x:c r="K25" s="9" t="str">
        <x:v>Аналіз коду №12, 9.5</x:v>
      </x:c>
      <x:c r="L25" s="9" t="str">
        <x:v>S0, №2; записи №6. Двоє, 50/50, змішані суми, підтвердження погашення.</x:v>
      </x:c>
    </x:row>
    <x:row r="26" ht="38" customHeight="1">
      <x:c r="A26" s="12" t="n">
        <x:v>9</x:v>
      </x:c>
      <x:c r="B26" s="12" t="str">
        <x:v>9.6</x:v>
      </x:c>
      <x:c r="C26" s="12" t="str">
        <x:v>Must</x:v>
      </x:c>
      <x:c r="D26" s="9" t="str">
        <x:v>Фінансові вибірки особистих/спільних витрат і заощаджень для 17, без нового UI звіту</x:v>
      </x:c>
      <x:c r="E26" s="14" t="n">
        <x:v>2</x:v>
      </x:c>
      <x:c r="F26" s="14" t="n">
        <x:v>1</x:v>
      </x:c>
      <x:c r="G26" s="11"/>
      <x:c r="H26" s="11" t="n">
        <x:f>IF(COUNT(E26:F26)=2,SUM(E26:F26),NA())</x:f>
        <x:v>3</x:v>
      </x:c>
      <x:c r="I26" s="12" t="str">
        <x:v>Поточна</x:v>
      </x:c>
      <x:c r="J26" s="2"/>
      <x:c r="K26" s="9" t="str">
        <x:v>Аналіз коду №12, 9.6</x:v>
      </x:c>
      <x:c r="L26" s="9" t="str">
        <x:v>S0, №2; записи №6. Двоє, 50/50, змішані суми, підтвердження погашення.</x:v>
      </x:c>
    </x:row>
    <x:row r="27" ht="38" customHeight="1">
      <x:c r="A27" s="12" t="n">
        <x:v>9</x:v>
      </x:c>
      <x:c r="B27" s="12" t="str">
        <x:v>9.7</x:v>
      </x:c>
      <x:c r="C27" s="12" t="str">
        <x:v>Must</x:v>
      </x:c>
      <x:c r="D27" s="9" t="str">
        <x:v>Перевірки 3200/1600, змішаного чека, 500−200, повторного імпорту, двох банків, нульових/від’ємних значень та округлення</x:v>
      </x:c>
      <x:c r="E27" s="14" t="n">
        <x:v>1</x:v>
      </x:c>
      <x:c r="F27" s="14" t="n">
        <x:v>2</x:v>
      </x:c>
      <x:c r="G27" s="11"/>
      <x:c r="H27" s="11" t="n">
        <x:f>IF(COUNT(E27:F27)=2,SUM(E27:F27),NA())</x:f>
        <x:v>3</x:v>
      </x:c>
      <x:c r="I27" s="12" t="str">
        <x:v>Поточна</x:v>
      </x:c>
      <x:c r="J27" s="2"/>
      <x:c r="K27" s="9" t="str">
        <x:v>Аналіз коду №12, 9.7</x:v>
      </x:c>
      <x:c r="L27" s="9" t="str">
        <x:v>S0, №2; записи №6. Двоє, 50/50, змішані суми, підтвердження погашення.</x:v>
      </x:c>
    </x:row>
    <x:row r="28" ht="38" customHeight="1">
      <x:c r="A28" s="12" t="n">
        <x:v>9</x:v>
      </x:c>
      <x:c r="B28" s="12" t="str">
        <x:v>9.8</x:v>
      </x:c>
      <x:c r="C28" s="12" t="str">
        <x:v>Must</x:v>
      </x:c>
      <x:c r="D28" s="9" t="str">
        <x:v>Цикл очікуваних виправлень фінансових розбіжностей і повторна звірка</x:v>
      </x:c>
      <x:c r="E28" s="14" t="n">
        <x:v>1</x:v>
      </x:c>
      <x:c r="F28" s="14" t="n">
        <x:v>1</x:v>
      </x:c>
      <x:c r="G28" s="11"/>
      <x:c r="H28" s="11" t="n">
        <x:f>IF(COUNT(E28:F28)=2,SUM(E28:F28),NA())</x:f>
        <x:v>2</x:v>
      </x:c>
      <x:c r="I28" s="12" t="str">
        <x:v>Поточна</x:v>
      </x:c>
      <x:c r="J28" s="2"/>
      <x:c r="K28" s="9" t="str">
        <x:v>Аналіз коду №12, 9.8</x:v>
      </x:c>
      <x:c r="L28" s="9" t="str">
        <x:v>S0, №2; записи №6. Двоє, 50/50, змішані суми, підтвердження погашення.</x:v>
      </x:c>
    </x:row>
    <x:row r="29" ht="38" customHeight="1">
      <x:c r="A29" s="15" t="n">
        <x:v>12</x:v>
      </x:c>
      <x:c r="B29" s="15" t="str">
        <x:v>12.1</x:v>
      </x:c>
      <x:c r="C29" s="15" t="str">
        <x:v>Must</x:v>
      </x:c>
      <x:c r="D29" s="16" t="str">
        <x:v>Flask/WSGI, конфігурація й відокремлення сервера від генератора</x:v>
      </x:c>
      <x:c r="E29" s="17" t="n">
        <x:v>1</x:v>
      </x:c>
      <x:c r="F29" s="17" t="n">
        <x:v>0.5</x:v>
      </x:c>
      <x:c r="G29" s="18"/>
      <x:c r="H29" s="18" t="n">
        <x:f>IF(COUNT(E29:F29)=2,SUM(E29:F29),NA())</x:f>
        <x:v>1.5</x:v>
      </x:c>
      <x:c r="I29" s="15" t="str">
        <x:v>Поточна</x:v>
      </x:c>
      <x:c r="J29" s="2"/>
      <x:c r="K29" s="9" t="str">
        <x:v>Оновлення Supabase/PWA №15, 12.1</x:v>
      </x:c>
      <x:c r="L29" s="9" t="str">
        <x:v>S0, модель №9. Supabase Auth; серверні права; Docker/HTTPS/volume. Без OAuth/SMTP.</x:v>
      </x:c>
    </x:row>
    <x:row r="30" ht="38" customHeight="1">
      <x:c r="A30" s="12" t="n">
        <x:v>12</x:v>
      </x:c>
      <x:c r="B30" s="12" t="str">
        <x:v>12.2</x:v>
      </x:c>
      <x:c r="C30" s="12" t="str">
        <x:v>Must</x:v>
      </x:c>
      <x:c r="D30" s="9" t="str">
        <x:v>Supabase, два UUID, вхід/вихід, серверні сесії, get_user, refresh і cookie; повторне використання SQLite-адаптера S0</x:v>
      </x:c>
      <x:c r="E30" s="14" t="n">
        <x:v>2.5</x:v>
      </x:c>
      <x:c r="F30" s="14" t="n">
        <x:v>2</x:v>
      </x:c>
      <x:c r="G30" s="11"/>
      <x:c r="H30" s="11" t="n">
        <x:f>IF(COUNT(E30:F30)=2,SUM(E30:F30),NA())</x:f>
        <x:v>4.5</x:v>
      </x:c>
      <x:c r="I30" s="12" t="str">
        <x:v>Поточна</x:v>
      </x:c>
      <x:c r="J30" s="2"/>
      <x:c r="K30" s="9" t="str">
        <x:v>Оновлення Supabase/PWA №15, 12.2</x:v>
      </x:c>
      <x:c r="L30" s="9" t="str">
        <x:v>S0, модель №9. Supabase Auth; серверні права; Docker/HTTPS/volume. Без OAuth/SMTP.</x:v>
      </x:c>
    </x:row>
    <x:row r="31" ht="38" customHeight="1">
      <x:c r="A31" s="12" t="n">
        <x:v>12</x:v>
      </x:c>
      <x:c r="B31" s="12" t="str">
        <x:v>12.3</x:v>
      </x:c>
      <x:c r="C31" s="12" t="str">
        <x:v>Must</x:v>
      </x:c>
      <x:c r="D31" s="9" t="str">
        <x:v>Права на рядки/дії, захист файлів, експорту й чужих ID</x:v>
      </x:c>
      <x:c r="E31" s="14" t="n">
        <x:v>2</x:v>
      </x:c>
      <x:c r="F31" s="14" t="n">
        <x:v>1.5</x:v>
      </x:c>
      <x:c r="G31" s="11"/>
      <x:c r="H31" s="11" t="n">
        <x:f>IF(COUNT(E31:F31)=2,SUM(E31:F31),NA())</x:f>
        <x:v>3.5</x:v>
      </x:c>
      <x:c r="I31" s="12" t="str">
        <x:v>Поточна</x:v>
      </x:c>
      <x:c r="J31" s="2"/>
      <x:c r="K31" s="9" t="str">
        <x:v>Оновлення Supabase/PWA №15, 12.3</x:v>
      </x:c>
      <x:c r="L31" s="9" t="str">
        <x:v>S0, модель №9. Supabase Auth; серверні права; Docker/HTTPS/volume. Без OAuth/SMTP.</x:v>
      </x:c>
    </x:row>
    <x:row r="32" ht="38" customHeight="1">
      <x:c r="A32" s="12" t="n">
        <x:v>12</x:v>
      </x:c>
      <x:c r="B32" s="12" t="str">
        <x:v>12.4</x:v>
      </x:c>
      <x:c r="C32" s="12" t="str">
        <x:v>Must</x:v>
      </x:c>
      <x:c r="D32" s="9" t="str">
        <x:v>CSRF, обмеження спроб входу й безпечні журнали</x:v>
      </x:c>
      <x:c r="E32" s="14" t="n">
        <x:v>1</x:v>
      </x:c>
      <x:c r="F32" s="14" t="n">
        <x:v>0.5</x:v>
      </x:c>
      <x:c r="G32" s="11"/>
      <x:c r="H32" s="11" t="n">
        <x:f>IF(COUNT(E32:F32)=2,SUM(E32:F32),NA())</x:f>
        <x:v>1.5</x:v>
      </x:c>
      <x:c r="I32" s="12" t="str">
        <x:v>Поточна</x:v>
      </x:c>
      <x:c r="J32" s="2"/>
      <x:c r="K32" s="9" t="str">
        <x:v>Оновлення Supabase/PWA №15, 12.4</x:v>
      </x:c>
      <x:c r="L32" s="9" t="str">
        <x:v>S0, модель №9. Supabase Auth; серверні права; Docker/HTTPS/volume. Без OAuth/SMTP.</x:v>
      </x:c>
    </x:row>
    <x:row r="33" ht="38" customHeight="1">
      <x:c r="A33" s="12" t="n">
        <x:v>12</x:v>
      </x:c>
      <x:c r="B33" s="12" t="str">
        <x:v>12.5</x:v>
      </x:c>
      <x:c r="C33" s="12" t="str">
        <x:v>Must</x:v>
      </x:c>
      <x:c r="D33" s="9" t="str">
        <x:v>Dockerfile/uv.lock, WSGI, HTTPS/env, volume й runtime-шляхи; запуск без втрати даних</x:v>
      </x:c>
      <x:c r="E33" s="14" t="n">
        <x:v>2.5</x:v>
      </x:c>
      <x:c r="F33" s="14" t="n">
        <x:v>1.5</x:v>
      </x:c>
      <x:c r="G33" s="11"/>
      <x:c r="H33" s="11" t="n">
        <x:f>IF(COUNT(E33:F33)=2,SUM(E33:F33),NA())</x:f>
        <x:v>4</x:v>
      </x:c>
      <x:c r="I33" s="12" t="str">
        <x:v>Поточна</x:v>
      </x:c>
      <x:c r="J33" s="2"/>
      <x:c r="K33" s="9" t="str">
        <x:v>Оновлення Supabase/PWA №15, 12.5</x:v>
      </x:c>
      <x:c r="L33" s="9" t="str">
        <x:v>S0, модель №9. Supabase Auth; серверні права; Docker/HTTPS/volume. Без OAuth/SMTP.</x:v>
      </x:c>
    </x:row>
    <x:row r="34" ht="38" customHeight="1">
      <x:c r="A34" s="12" t="n">
        <x:v>12</x:v>
      </x:c>
      <x:c r="B34" s="12" t="str">
        <x:v>12.6</x:v>
      </x:c>
      <x:c r="C34" s="12" t="str">
        <x:v>Must</x:v>
      </x:c>
      <x:c r="D34" s="9" t="str">
        <x:v>Дві сесії, без входу/чужі ID, строк токенів, refresh, помилки провайдера й повторний вхід</x:v>
      </x:c>
      <x:c r="E34" s="14" t="n">
        <x:v>1</x:v>
      </x:c>
      <x:c r="F34" s="14" t="n">
        <x:v>3</x:v>
      </x:c>
      <x:c r="G34" s="11"/>
      <x:c r="H34" s="11" t="n">
        <x:f>IF(COUNT(E34:F34)=2,SUM(E34:F34),NA())</x:f>
        <x:v>4</x:v>
      </x:c>
      <x:c r="I34" s="12" t="str">
        <x:v>Поточна</x:v>
      </x:c>
      <x:c r="J34" s="2"/>
      <x:c r="K34" s="9" t="str">
        <x:v>Оновлення Supabase/PWA №15, 12.6</x:v>
      </x:c>
      <x:c r="L34" s="9" t="str">
        <x:v>S0, модель №9. Supabase Auth; серверні права; Docker/HTTPS/volume. Без OAuth/SMTP.</x:v>
      </x:c>
    </x:row>
    <x:row r="35" ht="38" customHeight="1">
      <x:c r="A35" s="12" t="n">
        <x:v>12</x:v>
      </x:c>
      <x:c r="B35" s="12" t="str">
        <x:v>12.7</x:v>
      </x:c>
      <x:c r="C35" s="12" t="str">
        <x:v>Must</x:v>
      </x:c>
      <x:c r="D35" s="9" t="str">
        <x:v>Виправлення після перевірок доступу й конфігурації</x:v>
      </x:c>
      <x:c r="E35" s="14" t="n">
        <x:v>1</x:v>
      </x:c>
      <x:c r="F35" s="14" t="n">
        <x:v>1</x:v>
      </x:c>
      <x:c r="G35" s="11"/>
      <x:c r="H35" s="11" t="n">
        <x:f>IF(COUNT(E35:F35)=2,SUM(E35:F35),NA())</x:f>
        <x:v>2</x:v>
      </x:c>
      <x:c r="I35" s="12" t="str">
        <x:v>Поточна</x:v>
      </x:c>
      <x:c r="J35" s="2"/>
      <x:c r="K35" s="9" t="str">
        <x:v>Оновлення Supabase/PWA №15, 12.7</x:v>
      </x:c>
      <x:c r="L35" s="9" t="str">
        <x:v>S0, модель №9. Supabase Auth; серверні права; Docker/HTTPS/volume. Без OAuth/SMTP.</x:v>
      </x:c>
    </x:row>
    <x:row r="36" ht="38" customHeight="1">
      <x:c r="A36" s="15" t="n">
        <x:v>17</x:v>
      </x:c>
      <x:c r="B36" s="15" t="str">
        <x:v>17.1</x:v>
      </x:c>
      <x:c r="C36" s="15" t="str">
        <x:v>Must</x:v>
      </x:c>
      <x:c r="D36" s="16" t="str">
        <x:v>Відокремити наявне отримання даних від генерації файлу та прийняти готову фінансову вибірку 9</x:v>
      </x:c>
      <x:c r="E36" s="17" t="n">
        <x:v>1</x:v>
      </x:c>
      <x:c r="F36" s="17" t="n">
        <x:v>0.5</x:v>
      </x:c>
      <x:c r="G36" s="18"/>
      <x:c r="H36" s="18" t="n">
        <x:f>IF(COUNT(E36:F36)=2,SUM(E36:F36),NA())</x:f>
        <x:v>1.5</x:v>
      </x:c>
      <x:c r="I36" s="15" t="str">
        <x:v>Поточна</x:v>
      </x:c>
      <x:c r="J36" s="2"/>
      <x:c r="K36" s="9" t="str">
        <x:v>Аналіз коду №12, 17.1</x:v>
      </x:c>
      <x:c r="L36" s="9" t="str">
        <x:v>S0, №2/9/12; записи №6. Готові стилі й розрахунки; ярлик, без офлайн-режиму.</x:v>
      </x:c>
    </x:row>
    <x:row r="37" ht="38" customHeight="1">
      <x:c r="A37" s="12" t="n">
        <x:v>17</x:v>
      </x:c>
      <x:c r="B37" s="12" t="str">
        <x:v>17.2</x:v>
      </x:c>
      <x:c r="C37" s="12" t="str">
        <x:v>Must</x:v>
      </x:c>
      <x:c r="D37" s="9" t="str">
        <x:v>Підключити наявний HTML/JS до відповіді сервера, безпечна серіалізація й відсутність чужих даних у сторінці</x:v>
      </x:c>
      <x:c r="E37" s="14" t="n">
        <x:v>1</x:v>
      </x:c>
      <x:c r="F37" s="14" t="n">
        <x:v>0.5</x:v>
      </x:c>
      <x:c r="G37" s="11"/>
      <x:c r="H37" s="11" t="n">
        <x:f>IF(COUNT(E37:F37)=2,SUM(E37:F37),NA())</x:f>
        <x:v>1.5</x:v>
      </x:c>
      <x:c r="I37" s="12" t="str">
        <x:v>Поточна</x:v>
      </x:c>
      <x:c r="J37" s="2"/>
      <x:c r="K37" s="9" t="str">
        <x:v>Аналіз коду №12, 17.2</x:v>
      </x:c>
      <x:c r="L37" s="9" t="str">
        <x:v>S0, №2/9/12; записи №6. Готові стилі й розрахунки; ярлик, без офлайн-режиму.</x:v>
      </x:c>
    </x:row>
    <x:row r="38" ht="38" customHeight="1">
      <x:c r="A38" s="12" t="n">
        <x:v>17</x:v>
      </x:c>
      <x:c r="B38" s="12" t="str">
        <x:v>17.3</x:v>
      </x:c>
      <x:c r="C38" s="12" t="str">
        <x:v>Must</x:v>
      </x:c>
      <x:c r="D38" s="9" t="str">
        <x:v>Особистий/спільний перегляд, власник і коректні підписи сум/періодів</x:v>
      </x:c>
      <x:c r="E38" s="14" t="n">
        <x:v>1</x:v>
      </x:c>
      <x:c r="F38" s="14" t="n">
        <x:v>0.5</x:v>
      </x:c>
      <x:c r="G38" s="11"/>
      <x:c r="H38" s="11" t="n">
        <x:f>IF(COUNT(E38:F38)=2,SUM(E38:F38),NA())</x:f>
        <x:v>1.5</x:v>
      </x:c>
      <x:c r="I38" s="12" t="str">
        <x:v>Поточна</x:v>
      </x:c>
      <x:c r="J38" s="2"/>
      <x:c r="K38" s="9" t="str">
        <x:v>Аналіз коду №12, 17.3</x:v>
      </x:c>
      <x:c r="L38" s="9" t="str">
        <x:v>S0, №2/9/12; записи №6. Готові стилі й розрахунки; ярлик, без офлайн-режиму.</x:v>
      </x:c>
    </x:row>
    <x:row r="39" ht="38" customHeight="1">
      <x:c r="A39" s="12" t="n">
        <x:v>17</x:v>
      </x:c>
      <x:c r="B39" s="12" t="str">
        <x:v>17.4</x:v>
      </x:c>
      <x:c r="C39" s="12" t="str">
        <x:v>Must</x:v>
      </x:c>
      <x:c r="D39" s="9" t="str">
        <x:v>Повнота за межами виписки замість лише last_operation, порожні та неповні місяці</x:v>
      </x:c>
      <x:c r="E39" s="14" t="n">
        <x:v>0.5</x:v>
      </x:c>
      <x:c r="F39" s="14" t="n">
        <x:v>0.5</x:v>
      </x:c>
      <x:c r="G39" s="11"/>
      <x:c r="H39" s="11" t="n">
        <x:f>IF(COUNT(E39:F39)=2,SUM(E39:F39),NA())</x:f>
        <x:v>1</x:v>
      </x:c>
      <x:c r="I39" s="12" t="str">
        <x:v>Поточна</x:v>
      </x:c>
      <x:c r="J39" s="2"/>
      <x:c r="K39" s="9" t="str">
        <x:v>Аналіз коду №12, 17.4</x:v>
      </x:c>
      <x:c r="L39" s="9" t="str">
        <x:v>S0, №2/9/12; записи №6. Готові стилі й розрахунки; ярлик, без офлайн-режиму.</x:v>
      </x:c>
    </x:row>
    <x:row r="40" ht="38" customHeight="1">
      <x:c r="A40" s="12" t="n">
        <x:v>17</x:v>
      </x:c>
      <x:c r="B40" s="12" t="str">
        <x:v>17.5</x:v>
      </x:c>
      <x:c r="C40" s="12" t="str">
        <x:v>Must</x:v>
      </x:c>
      <x:c r="D40" s="9" t="str">
        <x:v>Перевірки на телефоні, переповнення таблиць, нульового доходу, від’ємних заощаджень і збігу цифр</x:v>
      </x:c>
      <x:c r="E40" s="14" t="n">
        <x:v>0.5</x:v>
      </x:c>
      <x:c r="F40" s="14" t="n">
        <x:v>1.5</x:v>
      </x:c>
      <x:c r="G40" s="11"/>
      <x:c r="H40" s="11" t="n">
        <x:f>IF(COUNT(E40:F40)=2,SUM(E40:F40),NA())</x:f>
        <x:v>2</x:v>
      </x:c>
      <x:c r="I40" s="12" t="str">
        <x:v>Поточна</x:v>
      </x:c>
      <x:c r="J40" s="2"/>
      <x:c r="K40" s="9" t="str">
        <x:v>Аналіз коду №12, 17.5</x:v>
      </x:c>
      <x:c r="L40" s="9" t="str">
        <x:v>S0, №2/9/12; записи №6. Готові стилі й розрахунки; ярлик, без офлайн-режиму.</x:v>
      </x:c>
    </x:row>
    <x:row r="41" ht="38" customHeight="1">
      <x:c r="A41" s="12" t="n">
        <x:v>17</x:v>
      </x:c>
      <x:c r="B41" s="12" t="str">
        <x:v>17.6</x:v>
      </x:c>
      <x:c r="C41" s="12" t="str">
        <x:v>Must</x:v>
      </x:c>
      <x:c r="D41" s="9" t="str">
        <x:v>Цикл виправлень відображення й повторний перегляд</x:v>
      </x:c>
      <x:c r="E41" s="14" t="n">
        <x:v>0.5</x:v>
      </x:c>
      <x:c r="F41" s="14" t="n">
        <x:v>0.5</x:v>
      </x:c>
      <x:c r="G41" s="11"/>
      <x:c r="H41" s="11" t="n">
        <x:f>IF(COUNT(E41:F41)=2,SUM(E41:F41),NA())</x:f>
        <x:v>1</x:v>
      </x:c>
      <x:c r="I41" s="12" t="str">
        <x:v>Поточна</x:v>
      </x:c>
      <x:c r="J41" s="2"/>
      <x:c r="K41" s="9" t="str">
        <x:v>Аналіз коду №12, 17.6</x:v>
      </x:c>
      <x:c r="L41" s="9" t="str">
        <x:v>S0, №2/9/12; записи №6. Готові стилі й розрахунки; ярлик, без офлайн-режиму.</x:v>
      </x:c>
    </x:row>
    <x:row r="42" ht="38" customHeight="1">
      <x:c r="A42" s="12" t="n">
        <x:v>17</x:v>
      </x:c>
      <x:c r="B42" s="12" t="str">
        <x:v>17.7</x:v>
      </x:c>
      <x:c r="C42" s="12" t="str">
        <x:v>Must</x:v>
      </x:c>
      <x:c r="D42" s="9" t="str">
        <x:v>Manifest, іконки, ярлик на екран, інструкція і перевірка запуску. Без офлайн-запису.</x:v>
      </x:c>
      <x:c r="E42" s="14" t="n">
        <x:v>1</x:v>
      </x:c>
      <x:c r="F42" s="14" t="n">
        <x:v>0.5</x:v>
      </x:c>
      <x:c r="G42" s="11"/>
      <x:c r="H42" s="11" t="n">
        <x:f>IF(COUNT(E42:F42)=2,SUM(E42:F42),NA())</x:f>
        <x:v>1.5</x:v>
      </x:c>
      <x:c r="I42" s="12" t="str">
        <x:v>Поточна</x:v>
      </x:c>
      <x:c r="J42" s="2"/>
      <x:c r="K42" s="9" t="str">
        <x:v>Оновлення Supabase/PWA №15, 17.7</x:v>
      </x:c>
      <x:c r="L42" s="9" t="str">
        <x:v>S0, №2/9/12; записи №6. Готові стилі й розрахунки; ярлик, без офлайн-режиму.</x:v>
      </x:c>
    </x:row>
    <x:row r="43" ht="38" customHeight="1">
      <x:c r="A43" s="15" t="n">
        <x:v>5</x:v>
      </x:c>
      <x:c r="B43" s="15" t="str">
        <x:v>5.1</x:v>
      </x:c>
      <x:c r="C43" s="15" t="str">
        <x:v>Should</x:v>
      </x:c>
      <x:c r="D43" s="16" t="str">
        <x:v>Додати параметри цілі/резерву до готових налаштувань і валідацію</x:v>
      </x:c>
      <x:c r="E43" s="17" t="n">
        <x:v>0.5</x:v>
      </x:c>
      <x:c r="F43" s="17" t="n">
        <x:v>0.5</x:v>
      </x:c>
      <x:c r="G43" s="18"/>
      <x:c r="H43" s="18" t="n">
        <x:f>IF(COUNT(E43:F43)=2,SUM(E43:F43),NA())</x:f>
        <x:v>1</x:v>
      </x:c>
      <x:c r="I43" s="15" t="str">
        <x:v>Поточна</x:v>
      </x:c>
      <x:c r="J43" s="2"/>
      <x:c r="K43" s="9" t="str">
        <x:v>Аналіз коду №12, 5.1</x:v>
      </x:c>
      <x:c r="L43" s="9" t="str">
        <x:v>S0, №12/17. Ручна база витрат і резерв, ціль 6×база; без прогнозів.</x:v>
      </x:c>
    </x:row>
    <x:row r="44" ht="38" customHeight="1">
      <x:c r="A44" s="12" t="n">
        <x:v>5</x:v>
      </x:c>
      <x:c r="B44" s="12" t="str">
        <x:v>5.2</x:v>
      </x:c>
      <x:c r="C44" s="12" t="str">
        <x:v>Should</x:v>
      </x:c>
      <x:c r="D44" s="9" t="str">
        <x:v>Проста особиста форма й збереження через готові права/сховище</x:v>
      </x:c>
      <x:c r="E44" s="14" t="n">
        <x:v>0.5</x:v>
      </x:c>
      <x:c r="F44" s="14" t="n">
        <x:v>0.5</x:v>
      </x:c>
      <x:c r="G44" s="11"/>
      <x:c r="H44" s="11" t="n">
        <x:f>IF(COUNT(E44:F44)=2,SUM(E44:F44),NA())</x:f>
        <x:v>1</x:v>
      </x:c>
      <x:c r="I44" s="12" t="str">
        <x:v>Поточна</x:v>
      </x:c>
      <x:c r="J44" s="2"/>
      <x:c r="K44" s="9" t="str">
        <x:v>Аналіз коду №12, 5.2</x:v>
      </x:c>
      <x:c r="L44" s="9" t="str">
        <x:v>S0, №12/17. Ручна база витрат і резерв, ціль 6×база; без прогнозів.</x:v>
      </x:c>
    </x:row>
    <x:row r="45" ht="38" customHeight="1">
      <x:c r="A45" s="12" t="n">
        <x:v>5</x:v>
      </x:c>
      <x:c r="B45" s="12" t="str">
        <x:v>5.3</x:v>
      </x:c>
      <x:c r="C45" s="12" t="str">
        <x:v>Should</x:v>
      </x:c>
      <x:c r="D45" s="9" t="str">
        <x:v>Індикатор у наявному звіті без нового дизайну</x:v>
      </x:c>
      <x:c r="E45" s="14" t="n">
        <x:v>0.5</x:v>
      </x:c>
      <x:c r="F45" s="14" t="n">
        <x:v>0.5</x:v>
      </x:c>
      <x:c r="G45" s="11"/>
      <x:c r="H45" s="11" t="n">
        <x:f>IF(COUNT(E45:F45)=2,SUM(E45:F45),NA())</x:f>
        <x:v>1</x:v>
      </x:c>
      <x:c r="I45" s="12" t="str">
        <x:v>Поточна</x:v>
      </x:c>
      <x:c r="J45" s="2"/>
      <x:c r="K45" s="9" t="str">
        <x:v>Аналіз коду №12, 5.3</x:v>
      </x:c>
      <x:c r="L45" s="9" t="str">
        <x:v>S0, №12/17. Ручна база витрат і резерв, ціль 6×база; без прогнозів.</x:v>
      </x:c>
    </x:row>
    <x:row r="46" ht="38" customHeight="1">
      <x:c r="A46" s="12" t="n">
        <x:v>5</x:v>
      </x:c>
      <x:c r="B46" s="12" t="str">
        <x:v>5.4</x:v>
      </x:c>
      <x:c r="C46" s="12" t="str">
        <x:v>Should</x:v>
      </x:c>
      <x:c r="D46" s="9" t="str">
        <x:v>Перевірки нуля, від’ємних значень, понад 100%, доступу та перезапуску; виправлення</x:v>
      </x:c>
      <x:c r="E46" s="14" t="n">
        <x:v>0.5</x:v>
      </x:c>
      <x:c r="F46" s="14" t="n">
        <x:v>1</x:v>
      </x:c>
      <x:c r="G46" s="11"/>
      <x:c r="H46" s="11" t="n">
        <x:f>IF(COUNT(E46:F46)=2,SUM(E46:F46),NA())</x:f>
        <x:v>1.5</x:v>
      </x:c>
      <x:c r="I46" s="12" t="str">
        <x:v>Поточна</x:v>
      </x:c>
      <x:c r="J46" s="2"/>
      <x:c r="K46" s="9" t="str">
        <x:v>Аналіз коду №12, 5.4</x:v>
      </x:c>
      <x:c r="L46" s="9" t="str">
        <x:v>S0, №12/17. Ручна база витрат і резерв, ціль 6×база; без прогнозів.</x:v>
      </x:c>
    </x:row>
    <x:row r="47" ht="38" customHeight="1">
      <x:c r="A47" s="15" t="n">
        <x:v>21</x:v>
      </x:c>
      <x:c r="B47" s="15" t="str">
        <x:v>21.1</x:v>
      </x:c>
      <x:c r="C47" s="15" t="str">
        <x:v>Should</x:v>
      </x:c>
      <x:c r="D47" s="16" t="str">
        <x:v>Рішення щодо одиничної правки/зміни правила, області дії й майбутніх імпортів; перевірка сумісності з правилами проєкту</x:v>
      </x:c>
      <x:c r="E47" s="17" t="n">
        <x:v>2</x:v>
      </x:c>
      <x:c r="F47" s="17" t="n">
        <x:v>1</x:v>
      </x:c>
      <x:c r="G47" s="18"/>
      <x:c r="H47" s="18" t="n">
        <x:f>IF(COUNT(E47:F47)=2,SUM(E47:F47),NA())</x:f>
        <x:v>3</x:v>
      </x:c>
      <x:c r="I47" s="15" t="str">
        <x:v>Поточна</x:v>
      </x:c>
      <x:c r="J47" s="2"/>
      <x:c r="K47" s="9" t="str">
        <x:v>Аналіз коду №12, 21.1</x:v>
      </x:c>
      <x:c r="L47" s="9" t="str">
        <x:v>Стійкі ID №2/S0, №12, перерахунок №9/17. Погодити адресні правила; сума/дата банку не редагуються.</x:v>
      </x:c>
    </x:row>
    <x:row r="48" ht="38" customHeight="1">
      <x:c r="A48" s="12" t="n">
        <x:v>21</x:v>
      </x:c>
      <x:c r="B48" s="12" t="str">
        <x:v>21.2</x:v>
      </x:c>
      <x:c r="C48" s="12" t="str">
        <x:v>Should</x:v>
      </x:c>
      <x:c r="D48" s="9" t="str">
        <x:v>Адресні правила за ID/власником, сумісність старих рядків rules.csv, порядок пріоритету й міграція формату</x:v>
      </x:c>
      <x:c r="E48" s="14" t="n">
        <x:v>2</x:v>
      </x:c>
      <x:c r="F48" s="14" t="n">
        <x:v>1</x:v>
      </x:c>
      <x:c r="G48" s="11"/>
      <x:c r="H48" s="11" t="n">
        <x:f>IF(COUNT(E48:F48)=2,SUM(E48:F48),NA())</x:f>
        <x:v>3</x:v>
      </x:c>
      <x:c r="I48" s="12" t="str">
        <x:v>Поточна</x:v>
      </x:c>
      <x:c r="J48" s="2"/>
      <x:c r="K48" s="9" t="str">
        <x:v>Аналіз коду №12, 21.2</x:v>
      </x:c>
      <x:c r="L48" s="9" t="str">
        <x:v>Стійкі ID №2/S0, №12, перерахунок №9/17. Погодити адресні правила; сума/дата банку не редагуються.</x:v>
      </x:c>
    </x:row>
    <x:row r="49" ht="38" customHeight="1">
      <x:c r="A49" s="12" t="n">
        <x:v>21</x:v>
      </x:c>
      <x:c r="B49" s="12" t="str">
        <x:v>21.3</x:v>
      </x:c>
      <x:c r="C49" s="12" t="str">
        <x:v>Should</x:v>
      </x:c>
      <x:c r="D49" s="9" t="str">
        <x:v>Серверна зміна лише дозволених полів, перевірка рахунків/прав і атомарний запис через S0</x:v>
      </x:c>
      <x:c r="E49" s="14" t="n">
        <x:v>1.5</x:v>
      </x:c>
      <x:c r="F49" s="14" t="n">
        <x:v>1</x:v>
      </x:c>
      <x:c r="G49" s="11"/>
      <x:c r="H49" s="11" t="n">
        <x:f>IF(COUNT(E49:F49)=2,SUM(E49:F49),NA())</x:f>
        <x:v>2.5</x:v>
      </x:c>
      <x:c r="I49" s="12" t="str">
        <x:v>Поточна</x:v>
      </x:c>
      <x:c r="J49" s="2"/>
      <x:c r="K49" s="9" t="str">
        <x:v>Аналіз коду №12, 21.3</x:v>
      </x:c>
      <x:c r="L49" s="9" t="str">
        <x:v>Стійкі ID №2/S0, №12, перерахунок №9/17. Погодити адресні правила; сума/дата банку не редагуються.</x:v>
      </x:c>
    </x:row>
    <x:row r="50" ht="38" customHeight="1">
      <x:c r="A50" s="12" t="n">
        <x:v>21</x:v>
      </x:c>
      <x:c r="B50" s="12" t="str">
        <x:v>21.4</x:v>
      </x:c>
      <x:c r="C50" s="12" t="str">
        <x:v>Should</x:v>
      </x:c>
      <x:c r="D50" s="9" t="str">
        <x:v>Мобільний екран вибору операції, категорії/fixed і попереднього перегляду наслідків</x:v>
      </x:c>
      <x:c r="E50" s="14" t="n">
        <x:v>1.5</x:v>
      </x:c>
      <x:c r="F50" s="14" t="n">
        <x:v>0.5</x:v>
      </x:c>
      <x:c r="G50" s="11"/>
      <x:c r="H50" s="11" t="n">
        <x:f>IF(COUNT(E50:F50)=2,SUM(E50:F50),NA())</x:f>
        <x:v>2</x:v>
      </x:c>
      <x:c r="I50" s="12" t="str">
        <x:v>Поточна</x:v>
      </x:c>
      <x:c r="J50" s="2"/>
      <x:c r="K50" s="9" t="str">
        <x:v>Аналіз коду №12, 21.4</x:v>
      </x:c>
      <x:c r="L50" s="9" t="str">
        <x:v>Стійкі ID №2/S0, №12, перерахунок №9/17. Погодити адресні правила; сума/дата банку не редагуються.</x:v>
      </x:c>
    </x:row>
    <x:row r="51" ht="38" customHeight="1">
      <x:c r="A51" s="12" t="n">
        <x:v>21</x:v>
      </x:c>
      <x:c r="B51" s="12" t="str">
        <x:v>21.5</x:v>
      </x:c>
      <x:c r="C51" s="12" t="str">
        <x:v>Should</x:v>
      </x:c>
      <x:c r="D51" s="9" t="str">
        <x:v>Повторний імпорт/перерахунок, bean-check, оновлення звіту та відкат помилкового правила</x:v>
      </x:c>
      <x:c r="E51" s="14" t="n">
        <x:v>1.5</x:v>
      </x:c>
      <x:c r="F51" s="14" t="n">
        <x:v>1</x:v>
      </x:c>
      <x:c r="G51" s="11"/>
      <x:c r="H51" s="11" t="n">
        <x:f>IF(COUNT(E51:F51)=2,SUM(E51:F51),NA())</x:f>
        <x:v>2.5</x:v>
      </x:c>
      <x:c r="I51" s="12" t="str">
        <x:v>Поточна</x:v>
      </x:c>
      <x:c r="J51" s="2"/>
      <x:c r="K51" s="9" t="str">
        <x:v>Аналіз коду №12, 21.5</x:v>
      </x:c>
      <x:c r="L51" s="9" t="str">
        <x:v>Стійкі ID №2/S0, №12, перерахунок №9/17. Погодити адресні правила; сума/дата банку не редагуються.</x:v>
      </x:c>
    </x:row>
    <x:row r="52" ht="38" customHeight="1">
      <x:c r="A52" s="12" t="n">
        <x:v>21</x:v>
      </x:c>
      <x:c r="B52" s="12" t="str">
        <x:v>21.6</x:v>
      </x:c>
      <x:c r="C52" s="12" t="str">
        <x:v>Should</x:v>
      </x:c>
      <x:c r="D52" s="9" t="str">
        <x:v>Перевірки точковості, схожих описів різних людей, повторів/перезапуску, старих правил і контрольних сум</x:v>
      </x:c>
      <x:c r="E52" s="14" t="n">
        <x:v>1</x:v>
      </x:c>
      <x:c r="F52" s="14" t="n">
        <x:v>2</x:v>
      </x:c>
      <x:c r="G52" s="11"/>
      <x:c r="H52" s="11" t="n">
        <x:f>IF(COUNT(E52:F52)=2,SUM(E52:F52),NA())</x:f>
        <x:v>3</x:v>
      </x:c>
      <x:c r="I52" s="12" t="str">
        <x:v>Поточна</x:v>
      </x:c>
      <x:c r="J52" s="2"/>
      <x:c r="K52" s="9" t="str">
        <x:v>Аналіз коду №12, 21.6</x:v>
      </x:c>
      <x:c r="L52" s="9" t="str">
        <x:v>Стійкі ID №2/S0, №12, перерахунок №9/17. Погодити адресні правила; сума/дата банку не редагуються.</x:v>
      </x:c>
    </x:row>
    <x:row r="53" ht="38" customHeight="1">
      <x:c r="A53" s="12" t="n">
        <x:v>21</x:v>
      </x:c>
      <x:c r="B53" s="12" t="str">
        <x:v>21.7</x:v>
      </x:c>
      <x:c r="C53" s="12" t="str">
        <x:v>Should</x:v>
      </x:c>
      <x:c r="D53" s="9" t="str">
        <x:v>Цикл виправлень після перевірок</x:v>
      </x:c>
      <x:c r="E53" s="14" t="n">
        <x:v>1</x:v>
      </x:c>
      <x:c r="F53" s="14" t="n">
        <x:v>1</x:v>
      </x:c>
      <x:c r="G53" s="11"/>
      <x:c r="H53" s="11" t="n">
        <x:f>IF(COUNT(E53:F53)=2,SUM(E53:F53),NA())</x:f>
        <x:v>2</x:v>
      </x:c>
      <x:c r="I53" s="12" t="str">
        <x:v>Поточна</x:v>
      </x:c>
      <x:c r="J53" s="2"/>
      <x:c r="K53" s="9" t="str">
        <x:v>Аналіз коду №12, 21.7</x:v>
      </x:c>
      <x:c r="L53" s="9" t="str">
        <x:v>Стійкі ID №2/S0, №12, перерахунок №9/17. Погодити адресні правила; сума/дата банку не редагуються.</x:v>
      </x:c>
    </x:row>
    <x:row r="54" ht="34" customHeight="1">
      <x:c r="A54" s="15" t="n">
        <x:v>10</x:v>
      </x:c>
      <x:c r="B54" s="15" t="str">
        <x:v>10.1</x:v>
      </x:c>
      <x:c r="C54" s="15" t="str">
        <x:v>Should</x:v>
      </x:c>
      <x:c r="D54" s="16" t="str">
        <x:v>Визначити область ліміту, період і поріг наближення</x:v>
      </x:c>
      <x:c r="E54" s="17" t="n">
        <x:v>0.5</x:v>
      </x:c>
      <x:c r="F54" s="17" t="n">
        <x:v>0.5</x:v>
      </x:c>
      <x:c r="G54" s="18"/>
      <x:c r="H54" s="18" t="n">
        <x:f>IF(COUNT(E54:F54)=2,SUM(E54:F54),NA())</x:f>
        <x:v>1</x:v>
      </x:c>
      <x:c r="I54" s="15" t="str">
        <x:v>Поточна</x:v>
      </x:c>
      <x:c r="J54" s="2"/>
      <x:c r="K54" s="9" t="str">
        <x:v>Аналіз коду №12, 10.1</x:v>
      </x:c>
      <x:c r="L54" s="9" t="str">
        <x:v>S0, №9/12/17. Ліміт і попередження у звіті, без push.</x:v>
      </x:c>
    </x:row>
    <x:row r="55" ht="34" customHeight="1">
      <x:c r="A55" s="12" t="n">
        <x:v>10</x:v>
      </x:c>
      <x:c r="B55" s="12" t="str">
        <x:v>10.2</x:v>
      </x:c>
      <x:c r="C55" s="12" t="str">
        <x:v>Should</x:v>
      </x:c>
      <x:c r="D55" s="9" t="str">
        <x:v>Додати поля лімітів у готове сховище, валідацію й права</x:v>
      </x:c>
      <x:c r="E55" s="14" t="n">
        <x:v>0.5</x:v>
      </x:c>
      <x:c r="F55" s="14" t="n">
        <x:v>0.5</x:v>
      </x:c>
      <x:c r="G55" s="11"/>
      <x:c r="H55" s="11" t="n">
        <x:f>IF(COUNT(E55:F55)=2,SUM(E55:F55),NA())</x:f>
        <x:v>1</x:v>
      </x:c>
      <x:c r="I55" s="12" t="str">
        <x:v>Поточна</x:v>
      </x:c>
      <x:c r="J55" s="2"/>
      <x:c r="K55" s="9" t="str">
        <x:v>Аналіз коду №12, 10.2</x:v>
      </x:c>
      <x:c r="L55" s="9" t="str">
        <x:v>S0, №9/12/17. Ліміт і попередження у звіті, без push.</x:v>
      </x:c>
    </x:row>
    <x:row r="56" ht="34" customHeight="1">
      <x:c r="A56" s="12" t="n">
        <x:v>10</x:v>
      </x:c>
      <x:c r="B56" s="12" t="str">
        <x:v>10.3</x:v>
      </x:c>
      <x:c r="C56" s="12" t="str">
        <x:v>Should</x:v>
      </x:c>
      <x:c r="D56" s="9" t="str">
        <x:v>Порівняння готових витрат із лімітом, повернення та граничні випадки</x:v>
      </x:c>
      <x:c r="E56" s="14" t="n">
        <x:v>1</x:v>
      </x:c>
      <x:c r="F56" s="14" t="n">
        <x:v>0.5</x:v>
      </x:c>
      <x:c r="G56" s="11"/>
      <x:c r="H56" s="11" t="n">
        <x:f>IF(COUNT(E56:F56)=2,SUM(E56:F56),NA())</x:f>
        <x:v>1.5</x:v>
      </x:c>
      <x:c r="I56" s="12" t="str">
        <x:v>Поточна</x:v>
      </x:c>
      <x:c r="J56" s="2"/>
      <x:c r="K56" s="9" t="str">
        <x:v>Аналіз коду №12, 10.3</x:v>
      </x:c>
      <x:c r="L56" s="9" t="str">
        <x:v>S0, №9/12/17. Ліміт і попередження у звіті, без push.</x:v>
      </x:c>
    </x:row>
    <x:row r="57" ht="34" customHeight="1">
      <x:c r="A57" s="12" t="n">
        <x:v>10</x:v>
      </x:c>
      <x:c r="B57" s="12" t="str">
        <x:v>10.4</x:v>
      </x:c>
      <x:c r="C57" s="12" t="str">
        <x:v>Should</x:v>
      </x:c>
      <x:c r="D57" s="9" t="str">
        <x:v>Форма лімітів і попередження у звіті</x:v>
      </x:c>
      <x:c r="E57" s="14" t="n">
        <x:v>1</x:v>
      </x:c>
      <x:c r="F57" s="14" t="n">
        <x:v>0.5</x:v>
      </x:c>
      <x:c r="G57" s="11"/>
      <x:c r="H57" s="11" t="n">
        <x:f>IF(COUNT(E57:F57)=2,SUM(E57:F57),NA())</x:f>
        <x:v>1.5</x:v>
      </x:c>
      <x:c r="I57" s="12" t="str">
        <x:v>Поточна</x:v>
      </x:c>
      <x:c r="J57" s="2"/>
      <x:c r="K57" s="9" t="str">
        <x:v>Аналіз коду №12, 10.4</x:v>
      </x:c>
      <x:c r="L57" s="9" t="str">
        <x:v>S0, №9/12/17. Ліміт і попередження у звіті, без push.</x:v>
      </x:c>
    </x:row>
    <x:row r="58" ht="34" customHeight="1">
      <x:c r="A58" s="12" t="n">
        <x:v>10</x:v>
      </x:c>
      <x:c r="B58" s="12" t="str">
        <x:v>10.5</x:v>
      </x:c>
      <x:c r="C58" s="12" t="str">
        <x:v>Should</x:v>
      </x:c>
      <x:c r="D58" s="9" t="str">
        <x:v>Перевірки меж місяця, порогів, відсутніх лімітів, від’ємних витрат і доступу</x:v>
      </x:c>
      <x:c r="E58" s="14" t="n">
        <x:v>1</x:v>
      </x:c>
      <x:c r="F58" s="14" t="n">
        <x:v>1.5</x:v>
      </x:c>
      <x:c r="G58" s="11"/>
      <x:c r="H58" s="11" t="n">
        <x:f>IF(COUNT(E58:F58)=2,SUM(E58:F58),NA())</x:f>
        <x:v>2.5</x:v>
      </x:c>
      <x:c r="I58" s="12" t="str">
        <x:v>Поточна</x:v>
      </x:c>
      <x:c r="J58" s="2"/>
      <x:c r="K58" s="9" t="str">
        <x:v>Аналіз коду №12, 10.5</x:v>
      </x:c>
      <x:c r="L58" s="9" t="str">
        <x:v>S0, №9/12/17. Ліміт і попередження у звіті, без push.</x:v>
      </x:c>
    </x:row>
    <x:row r="59" ht="34" customHeight="1">
      <x:c r="A59" s="12" t="n">
        <x:v>10</x:v>
      </x:c>
      <x:c r="B59" s="12" t="str">
        <x:v>10.6</x:v>
      </x:c>
      <x:c r="C59" s="12" t="str">
        <x:v>Should</x:v>
      </x:c>
      <x:c r="D59" s="9" t="str">
        <x:v>Цикл виправлень і повторна перевірка</x:v>
      </x:c>
      <x:c r="E59" s="14" t="n">
        <x:v>0.5</x:v>
      </x:c>
      <x:c r="F59" s="14" t="n">
        <x:v>0.5</x:v>
      </x:c>
      <x:c r="G59" s="11"/>
      <x:c r="H59" s="11" t="n">
        <x:f>IF(COUNT(E59:F59)=2,SUM(E59:F59),NA())</x:f>
        <x:v>1</x:v>
      </x:c>
      <x:c r="I59" s="12" t="str">
        <x:v>Поточна</x:v>
      </x:c>
      <x:c r="J59" s="2"/>
      <x:c r="K59" s="9" t="str">
        <x:v>Аналіз коду №12, 10.6</x:v>
      </x:c>
      <x:c r="L59" s="9" t="str">
        <x:v>S0, №9/12/17. Ліміт і попередження у звіті, без push.</x:v>
      </x:c>
    </x:row>
    <x:row r="60" ht="34" customHeight="1">
      <x:c r="A60" s="15" t="n">
        <x:v>14</x:v>
      </x:c>
      <x:c r="B60" s="15" t="str">
        <x:v>14.1</x:v>
      </x:c>
      <x:c r="C60" s="15" t="str">
        <x:v>Could</x:v>
      </x:c>
      <x:c r="D60" s="16" t="str">
        <x:v>Узгодити колонки, особисту/спільну вибірку й період</x:v>
      </x:c>
      <x:c r="E60" s="17" t="n">
        <x:v>0.5</x:v>
      </x:c>
      <x:c r="F60" s="17" t="n">
        <x:v>0.5</x:v>
      </x:c>
      <x:c r="G60" s="18"/>
      <x:c r="H60" s="18" t="n">
        <x:f>IF(COUNT(E60:F60)=2,SUM(E60:F60),NA())</x:f>
        <x:v>1</x:v>
      </x:c>
      <x:c r="I60" s="15" t="str">
        <x:v>Поточна</x:v>
      </x:c>
      <x:c r="J60" s="2"/>
      <x:c r="K60" s="9" t="str">
        <x:v>Аналіз коду №12, 14.1</x:v>
      </x:c>
      <x:c r="L60" s="9" t="str">
        <x:v>№9/12/17. CSV UTF-8, дозволена вибірка; без прямої синхронізації.</x:v>
      </x:c>
    </x:row>
    <x:row r="61" ht="34" customHeight="1">
      <x:c r="A61" s="12" t="n">
        <x:v>14</x:v>
      </x:c>
      <x:c r="B61" s="12" t="str">
        <x:v>14.2</x:v>
      </x:c>
      <x:c r="C61" s="12" t="str">
        <x:v>Could</x:v>
      </x:c>
      <x:c r="D61" s="9" t="str">
        <x:v>CSV-серіалізація, десяткові суми, кодування й екранування</x:v>
      </x:c>
      <x:c r="E61" s="14" t="n">
        <x:v>0.5</x:v>
      </x:c>
      <x:c r="F61" s="14" t="n">
        <x:v>0.5</x:v>
      </x:c>
      <x:c r="G61" s="11"/>
      <x:c r="H61" s="11" t="n">
        <x:f>IF(COUNT(E61:F61)=2,SUM(E61:F61),NA())</x:f>
        <x:v>1</x:v>
      </x:c>
      <x:c r="I61" s="12" t="str">
        <x:v>Поточна</x:v>
      </x:c>
      <x:c r="J61" s="2"/>
      <x:c r="K61" s="9" t="str">
        <x:v>Аналіз коду №12, 14.2</x:v>
      </x:c>
      <x:c r="L61" s="9" t="str">
        <x:v>№9/12/17. CSV UTF-8, дозволена вибірка; без прямої синхронізації.</x:v>
      </x:c>
    </x:row>
    <x:row r="62" ht="38" customHeight="1">
      <x:c r="A62" s="12" t="n">
        <x:v>14</x:v>
      </x:c>
      <x:c r="B62" s="12" t="str">
        <x:v>14.3</x:v>
      </x:c>
      <x:c r="C62" s="12" t="str">
        <x:v>Could</x:v>
      </x:c>
      <x:c r="D62" s="9" t="str">
        <x:v>Маршрут завантаження з готовими правами й захистом текстових клітинок від формул</x:v>
      </x:c>
      <x:c r="E62" s="14" t="n">
        <x:v>0.5</x:v>
      </x:c>
      <x:c r="F62" s="14" t="n">
        <x:v>0.5</x:v>
      </x:c>
      <x:c r="G62" s="11"/>
      <x:c r="H62" s="11" t="n">
        <x:f>IF(COUNT(E62:F62)=2,SUM(E62:F62),NA())</x:f>
        <x:v>1</x:v>
      </x:c>
      <x:c r="I62" s="12" t="str">
        <x:v>Поточна</x:v>
      </x:c>
      <x:c r="J62" s="2"/>
      <x:c r="K62" s="9" t="str">
        <x:v>Аналіз коду №12, 14.3</x:v>
      </x:c>
      <x:c r="L62" s="9" t="str">
        <x:v>№9/12/17. CSV UTF-8, дозволена вибірка; без прямої синхронізації.</x:v>
      </x:c>
    </x:row>
    <x:row r="63" ht="34" customHeight="1">
      <x:c r="A63" s="12" t="n">
        <x:v>14</x:v>
      </x:c>
      <x:c r="B63" s="12" t="str">
        <x:v>14.4</x:v>
      </x:c>
      <x:c r="C63" s="12" t="str">
        <x:v>Could</x:v>
      </x:c>
      <x:c r="D63" s="9" t="str">
        <x:v>Перевірити файл у таблицях, чужі ID, порожню вибірку й збіг підсумків</x:v>
      </x:c>
      <x:c r="E63" s="14" t="n">
        <x:v>1</x:v>
      </x:c>
      <x:c r="F63" s="14" t="n">
        <x:v>1</x:v>
      </x:c>
      <x:c r="G63" s="11"/>
      <x:c r="H63" s="11" t="n">
        <x:f>IF(COUNT(E63:F63)=2,SUM(E63:F63),NA())</x:f>
        <x:v>2</x:v>
      </x:c>
      <x:c r="I63" s="12" t="str">
        <x:v>Поточна</x:v>
      </x:c>
      <x:c r="J63" s="2"/>
      <x:c r="K63" s="9" t="str">
        <x:v>Аналіз коду №12, 14.4</x:v>
      </x:c>
      <x:c r="L63" s="9" t="str">
        <x:v>№9/12/17. CSV UTF-8, дозволена вибірка; без прямої синхронізації.</x:v>
      </x:c>
    </x:row>
    <x:row r="64" ht="34" customHeight="1">
      <x:c r="A64" s="12" t="n">
        <x:v>14</x:v>
      </x:c>
      <x:c r="B64" s="12" t="str">
        <x:v>14.5</x:v>
      </x:c>
      <x:c r="C64" s="12" t="str">
        <x:v>Could</x:v>
      </x:c>
      <x:c r="D64" s="9" t="str">
        <x:v>Цикл виправлень формату/доступу</x:v>
      </x:c>
      <x:c r="E64" s="14" t="n">
        <x:v>0.5</x:v>
      </x:c>
      <x:c r="F64" s="14" t="n">
        <x:v>0.5</x:v>
      </x:c>
      <x:c r="G64" s="11"/>
      <x:c r="H64" s="11" t="n">
        <x:f>IF(COUNT(E64:F64)=2,SUM(E64:F64),NA())</x:f>
        <x:v>1</x:v>
      </x:c>
      <x:c r="I64" s="12" t="str">
        <x:v>Поточна</x:v>
      </x:c>
      <x:c r="J64" s="2"/>
      <x:c r="K64" s="9" t="str">
        <x:v>Аналіз коду №12, 14.5</x:v>
      </x:c>
      <x:c r="L64" s="9" t="str">
        <x:v>№9/12/17. CSV UTF-8, дозволена вибірка; без прямої синхронізації.</x:v>
      </x:c>
    </x:row>
    <x:row r="65" ht="34" customHeight="1">
      <x:c r="A65" s="15" t="n">
        <x:v>8</x:v>
      </x:c>
      <x:c r="B65" s="15" t="str">
        <x:v>8.1</x:v>
      </x:c>
      <x:c r="C65" s="15" t="str">
        <x:v>Could</x:v>
      </x:c>
      <x:c r="D65" s="16" t="str">
        <x:v>Погодити вміст повідомлення, прив’язку й відмову від надсилання</x:v>
      </x:c>
      <x:c r="E65" s="17" t="n">
        <x:v>0.5</x:v>
      </x:c>
      <x:c r="F65" s="17" t="n">
        <x:v>0.5</x:v>
      </x:c>
      <x:c r="G65" s="18"/>
      <x:c r="H65" s="18" t="n">
        <x:f>IF(COUNT(E65:F65)=2,SUM(E65:F65),NA())</x:f>
        <x:v>1</x:v>
      </x:c>
      <x:c r="I65" s="15" t="str">
        <x:v>Поточна</x:v>
      </x:c>
      <x:c r="J65" s="2"/>
      <x:c r="K65" s="9" t="str">
        <x:v>Аналіз коду №12, 8.1</x:v>
      </x:c>
      <x:c r="L65" s="9" t="str">
        <x:v>№9/12/17. Один місячний підсумок, планувальник і погоджений чат.</x:v>
      </x:c>
    </x:row>
    <x:row r="66" ht="34" customHeight="1">
      <x:c r="A66" s="12" t="n">
        <x:v>8</x:v>
      </x:c>
      <x:c r="B66" s="12" t="str">
        <x:v>8.2</x:v>
      </x:c>
      <x:c r="C66" s="12" t="str">
        <x:v>Could</x:v>
      </x:c>
      <x:c r="D66" s="9" t="str">
        <x:v>Налаштувати секрет бота, чат і один HTTP-виклик із помилками/тайм-аутом</x:v>
      </x:c>
      <x:c r="E66" s="14" t="n">
        <x:v>1</x:v>
      </x:c>
      <x:c r="F66" s="14" t="n">
        <x:v>0.5</x:v>
      </x:c>
      <x:c r="G66" s="11"/>
      <x:c r="H66" s="11" t="n">
        <x:f>IF(COUNT(E66:F66)=2,SUM(E66:F66),NA())</x:f>
        <x:v>1.5</x:v>
      </x:c>
      <x:c r="I66" s="12" t="str">
        <x:v>Поточна</x:v>
      </x:c>
      <x:c r="J66" s="2"/>
      <x:c r="K66" s="9" t="str">
        <x:v>Аналіз коду №12, 8.2</x:v>
      </x:c>
      <x:c r="L66" s="9" t="str">
        <x:v>№9/12/17. Один місячний підсумок, планувальник і погоджений чат.</x:v>
      </x:c>
    </x:row>
    <x:row r="67" ht="34" customHeight="1">
      <x:c r="A67" s="12" t="n">
        <x:v>8</x:v>
      </x:c>
      <x:c r="B67" s="12" t="str">
        <x:v>8.3</x:v>
      </x:c>
      <x:c r="C67" s="12" t="str">
        <x:v>Could</x:v>
      </x:c>
      <x:c r="D67" s="9" t="str">
        <x:v>Сформувати повідомлення з готової дозволеної вибірки</x:v>
      </x:c>
      <x:c r="E67" s="14" t="n">
        <x:v>0.5</x:v>
      </x:c>
      <x:c r="F67" s="14" t="n">
        <x:v>0.5</x:v>
      </x:c>
      <x:c r="G67" s="11"/>
      <x:c r="H67" s="11" t="n">
        <x:f>IF(COUNT(E67:F67)=2,SUM(E67:F67),NA())</x:f>
        <x:v>1</x:v>
      </x:c>
      <x:c r="I67" s="12" t="str">
        <x:v>Поточна</x:v>
      </x:c>
      <x:c r="J67" s="2"/>
      <x:c r="K67" s="9" t="str">
        <x:v>Аналіз коду №12, 8.3</x:v>
      </x:c>
      <x:c r="L67" s="9" t="str">
        <x:v>№9/12/17. Один місячний підсумок, планувальник і погоджений чат.</x:v>
      </x:c>
    </x:row>
    <x:row r="68" ht="34" customHeight="1">
      <x:c r="A68" s="12" t="n">
        <x:v>8</x:v>
      </x:c>
      <x:c r="B68" s="12" t="str">
        <x:v>8.4</x:v>
      </x:c>
      <x:c r="C68" s="12" t="str">
        <x:v>Could</x:v>
      </x:c>
      <x:c r="D68" s="9" t="str">
        <x:v>Плановий запуск і збереження факту надсилання для захисту повторів</x:v>
      </x:c>
      <x:c r="E68" s="14" t="n">
        <x:v>0.5</x:v>
      </x:c>
      <x:c r="F68" s="14" t="n">
        <x:v>0.5</x:v>
      </x:c>
      <x:c r="G68" s="11"/>
      <x:c r="H68" s="11" t="n">
        <x:f>IF(COUNT(E68:F68)=2,SUM(E68:F68),NA())</x:f>
        <x:v>1</x:v>
      </x:c>
      <x:c r="I68" s="12" t="str">
        <x:v>Поточна</x:v>
      </x:c>
      <x:c r="J68" s="2"/>
      <x:c r="K68" s="9" t="str">
        <x:v>Аналіз коду №12, 8.4</x:v>
      </x:c>
      <x:c r="L68" s="9" t="str">
        <x:v>№9/12/17. Один місячний підсумок, планувальник і погоджений чат.</x:v>
      </x:c>
    </x:row>
    <x:row r="69" ht="38" customHeight="1">
      <x:c r="A69" s="12" t="n">
        <x:v>8</x:v>
      </x:c>
      <x:c r="B69" s="12" t="str">
        <x:v>8.5</x:v>
      </x:c>
      <x:c r="C69" s="12" t="str">
        <x:v>Could</x:v>
      </x:c>
      <x:c r="D69" s="9" t="str">
        <x:v>Перевірки неправильного чату, повторного запуску, відмови API/мережі й вмісту повідомлення</x:v>
      </x:c>
      <x:c r="E69" s="14" t="n">
        <x:v>1</x:v>
      </x:c>
      <x:c r="F69" s="14" t="n">
        <x:v>1</x:v>
      </x:c>
      <x:c r="G69" s="11"/>
      <x:c r="H69" s="11" t="n">
        <x:f>IF(COUNT(E69:F69)=2,SUM(E69:F69),NA())</x:f>
        <x:v>2</x:v>
      </x:c>
      <x:c r="I69" s="12" t="str">
        <x:v>Поточна</x:v>
      </x:c>
      <x:c r="J69" s="2"/>
      <x:c r="K69" s="9" t="str">
        <x:v>Аналіз коду №12, 8.5</x:v>
      </x:c>
      <x:c r="L69" s="9" t="str">
        <x:v>№9/12/17. Один місячний підсумок, планувальник і погоджений чат.</x:v>
      </x:c>
    </x:row>
    <x:row r="70" ht="34" customHeight="1">
      <x:c r="A70" s="12" t="n">
        <x:v>8</x:v>
      </x:c>
      <x:c r="B70" s="12" t="str">
        <x:v>8.6</x:v>
      </x:c>
      <x:c r="C70" s="12" t="str">
        <x:v>Could</x:v>
      </x:c>
      <x:c r="D70" s="9" t="str">
        <x:v>Цикл виправлень і перевірка надсилання</x:v>
      </x:c>
      <x:c r="E70" s="14" t="n">
        <x:v>0.5</x:v>
      </x:c>
      <x:c r="F70" s="14" t="n">
        <x:v>0.5</x:v>
      </x:c>
      <x:c r="G70" s="11"/>
      <x:c r="H70" s="11" t="n">
        <x:f>IF(COUNT(E70:F70)=2,SUM(E70:F70),NA())</x:f>
        <x:v>1</x:v>
      </x:c>
      <x:c r="I70" s="12" t="str">
        <x:v>Поточна</x:v>
      </x:c>
      <x:c r="J70" s="2"/>
      <x:c r="K70" s="9" t="str">
        <x:v>Аналіз коду №12, 8.6</x:v>
      </x:c>
      <x:c r="L70" s="9" t="str">
        <x:v>№9/12/17. Один місячний підсумок, планувальник і погоджений чат.</x:v>
      </x:c>
    </x:row>
    <x:row r="71" ht="34" customHeight="1">
      <x:c r="A71" s="15" t="n">
        <x:v>3</x:v>
      </x:c>
      <x:c r="B71" s="15" t="str">
        <x:v>3.1</x:v>
      </x:c>
      <x:c r="C71" s="15" t="str">
        <x:v>Could</x:v>
      </x:c>
      <x:c r="D71" s="16" t="str">
        <x:v>Друга палітра CSS й кольори наявних графіків/станів</x:v>
      </x:c>
      <x:c r="E71" s="17" t="n">
        <x:v>1</x:v>
      </x:c>
      <x:c r="F71" s="17" t="n">
        <x:v>0.5</x:v>
      </x:c>
      <x:c r="G71" s="18"/>
      <x:c r="H71" s="18" t="n">
        <x:f>IF(COUNT(E71:F71)=2,SUM(E71:F71),NA())</x:f>
        <x:v>1.5</x:v>
      </x:c>
      <x:c r="I71" s="15" t="str">
        <x:v>Поточна</x:v>
      </x:c>
      <x:c r="J71" s="2"/>
      <x:c r="K71" s="9" t="str">
        <x:v>Аналіз коду №12, 3.1</x:v>
      </x:c>
      <x:c r="L71" s="9" t="str">
        <x:v>№17. Дві палітри, перемикач; готові стилі й графіки.</x:v>
      </x:c>
    </x:row>
    <x:row r="72" ht="34" customHeight="1">
      <x:c r="A72" s="12" t="n">
        <x:v>3</x:v>
      </x:c>
      <x:c r="B72" s="12" t="str">
        <x:v>3.2</x:v>
      </x:c>
      <x:c r="C72" s="12" t="str">
        <x:v>Could</x:v>
      </x:c>
      <x:c r="D72" s="9" t="str">
        <x:v>Перемикач і запам’ятовування вибору</x:v>
      </x:c>
      <x:c r="E72" s="14" t="n">
        <x:v>0.5</x:v>
      </x:c>
      <x:c r="F72" s="14" t="n">
        <x:v>0.5</x:v>
      </x:c>
      <x:c r="G72" s="11"/>
      <x:c r="H72" s="11" t="n">
        <x:f>IF(COUNT(E72:F72)=2,SUM(E72:F72),NA())</x:f>
        <x:v>1</x:v>
      </x:c>
      <x:c r="I72" s="12" t="str">
        <x:v>Поточна</x:v>
      </x:c>
      <x:c r="J72" s="2"/>
      <x:c r="K72" s="9" t="str">
        <x:v>Аналіз коду №12, 3.2</x:v>
      </x:c>
      <x:c r="L72" s="9" t="str">
        <x:v>№17. Дві палітри, перемикач; готові стилі й графіки.</x:v>
      </x:c>
    </x:row>
    <x:row r="73" ht="34" customHeight="1">
      <x:c r="A73" s="12" t="n">
        <x:v>3</x:v>
      </x:c>
      <x:c r="B73" s="12" t="str">
        <x:v>3.3</x:v>
      </x:c>
      <x:c r="C73" s="12" t="str">
        <x:v>Could</x:v>
      </x:c>
      <x:c r="D73" s="9" t="str">
        <x:v>Перевірки контрасту, фокусу, підписів і телефона; виправлення</x:v>
      </x:c>
      <x:c r="E73" s="14" t="n">
        <x:v>0.5</x:v>
      </x:c>
      <x:c r="F73" s="14" t="n">
        <x:v>1</x:v>
      </x:c>
      <x:c r="G73" s="11"/>
      <x:c r="H73" s="11" t="n">
        <x:f>IF(COUNT(E73:F73)=2,SUM(E73:F73),NA())</x:f>
        <x:v>1.5</x:v>
      </x:c>
      <x:c r="I73" s="12" t="str">
        <x:v>Поточна</x:v>
      </x:c>
      <x:c r="J73" s="2"/>
      <x:c r="K73" s="9" t="str">
        <x:v>Аналіз коду №12, 3.3</x:v>
      </x:c>
      <x:c r="L73" s="9" t="str">
        <x:v>№17. Дві палітри, перемикач; готові стилі й графіки.</x:v>
      </x:c>
    </x:row>
    <x:row r="74" ht="38" customHeight="1">
      <x:c r="A74" s="23" t="n">
        <x:v>1</x:v>
      </x:c>
      <x:c r="B74" s="23" t="str">
        <x:v>1.L1</x:v>
      </x:c>
      <x:c r="C74" s="23" t="str">
        <x:v>Won’t</x:v>
      </x:c>
      <x:c r="D74" s="24" t="str">
        <x:v>Групування наявної історії за місяцями</x:v>
      </x:c>
      <x:c r="E74" s="18"/>
      <x:c r="F74" s="18"/>
      <x:c r="G74" s="17" t="n">
        <x:v>2</x:v>
      </x:c>
      <x:c r="H74" s="18" t="n">
        <x:f>IF(COUNT(G74)=1,SUM(G74),NA())</x:f>
        <x:v>2</x:v>
      </x:c>
      <x:c r="I74" s="23" t="str">
        <x:v>Історична</x:v>
      </x:c>
      <x:c r="J74" s="2"/>
      <x:c r="K74" s="9" t="str">
        <x:v>Початкова декомпозиція №02, фіча 1, крок 1</x:v>
      </x:c>
      <x:c r="L74" s="9" t="str">
        <x:v>Використовує готовий звіт і права доступу; показує доступну історію, не прогнозує рік.</x:v>
      </x:c>
    </x:row>
    <x:row r="75" ht="38" customHeight="1">
      <x:c r="A75" s="20" t="n">
        <x:v>1</x:v>
      </x:c>
      <x:c r="B75" s="20" t="str">
        <x:v>1.L2</x:v>
      </x:c>
      <x:c r="C75" s="20" t="str">
        <x:v>Won’t</x:v>
      </x:c>
      <x:c r="D75" s="21" t="str">
        <x:v>Порівняння категорій і часток із позначенням неповних періодів</x:v>
      </x:c>
      <x:c r="E75" s="11"/>
      <x:c r="F75" s="11"/>
      <x:c r="G75" s="14" t="n">
        <x:v>1</x:v>
      </x:c>
      <x:c r="H75" s="11" t="n">
        <x:f>IF(COUNT(G75)=1,SUM(G75),NA())</x:f>
        <x:v>1</x:v>
      </x:c>
      <x:c r="I75" s="20" t="str">
        <x:v>Історична</x:v>
      </x:c>
      <x:c r="J75" s="2"/>
      <x:c r="K75" s="9" t="str">
        <x:v>Початкова декомпозиція №02, фіча 1, крок 2</x:v>
      </x:c>
      <x:c r="L75" s="9" t="str">
        <x:v>Використовує готовий звіт і права доступу; показує доступну історію, не прогнозує рік.</x:v>
      </x:c>
    </x:row>
    <x:row r="76" ht="38" customHeight="1">
      <x:c r="A76" s="20" t="n">
        <x:v>1</x:v>
      </x:c>
      <x:c r="B76" s="20" t="str">
        <x:v>1.L3</x:v>
      </x:c>
      <x:c r="C76" s="20" t="str">
        <x:v>Won’t</x:v>
      </x:c>
      <x:c r="D76" s="21" t="str">
        <x:v>Графік у готовому звіті</x:v>
      </x:c>
      <x:c r="E76" s="11"/>
      <x:c r="F76" s="11"/>
      <x:c r="G76" s="14" t="n">
        <x:v>2</x:v>
      </x:c>
      <x:c r="H76" s="11" t="n">
        <x:f>IF(COUNT(G76)=1,SUM(G76),NA())</x:f>
        <x:v>2</x:v>
      </x:c>
      <x:c r="I76" s="20" t="str">
        <x:v>Історична</x:v>
      </x:c>
      <x:c r="J76" s="2"/>
      <x:c r="K76" s="9" t="str">
        <x:v>Початкова декомпозиція №02, фіча 1, крок 3</x:v>
      </x:c>
      <x:c r="L76" s="9" t="str">
        <x:v>Використовує готовий звіт і права доступу; показує доступну історію, не прогнозує рік.</x:v>
      </x:c>
    </x:row>
    <x:row r="77" ht="38" customHeight="1">
      <x:c r="A77" s="20" t="n">
        <x:v>1</x:v>
      </x:c>
      <x:c r="B77" s="20" t="str">
        <x:v>1.L4</x:v>
      </x:c>
      <x:c r="C77" s="20" t="str">
        <x:v>Won’t</x:v>
      </x:c>
      <x:c r="D77" s="21" t="str">
        <x:v>Звірка сум і порожніх місяців</x:v>
      </x:c>
      <x:c r="E77" s="11"/>
      <x:c r="F77" s="11"/>
      <x:c r="G77" s="14" t="n">
        <x:v>1</x:v>
      </x:c>
      <x:c r="H77" s="11" t="n">
        <x:f>IF(COUNT(G77)=1,SUM(G77),NA())</x:f>
        <x:v>1</x:v>
      </x:c>
      <x:c r="I77" s="20" t="str">
        <x:v>Історична</x:v>
      </x:c>
      <x:c r="J77" s="2"/>
      <x:c r="K77" s="9" t="str">
        <x:v>Початкова декомпозиція №02, фіча 1, крок 4</x:v>
      </x:c>
      <x:c r="L77" s="9" t="str">
        <x:v>Використовує готовий звіт і права доступу; показує доступну історію, не прогнозує рік.</x:v>
      </x:c>
    </x:row>
    <x:row r="78" ht="53" customHeight="1">
      <x:c r="A78" s="23" t="n">
        <x:v>4</x:v>
      </x:c>
      <x:c r="B78" s="23" t="str">
        <x:v>4.L1</x:v>
      </x:c>
      <x:c r="C78" s="23" t="str">
        <x:v>Won’t</x:v>
      </x:c>
      <x:c r="D78" s="24" t="str">
        <x:v>Лише невідомі описи, мінімальні дані й перелік дозволених категорій</x:v>
      </x:c>
      <x:c r="E78" s="18"/>
      <x:c r="F78" s="18"/>
      <x:c r="G78" s="17" t="n">
        <x:v>1</x:v>
      </x:c>
      <x:c r="H78" s="18" t="n">
        <x:f>IF(COUNT(G78)=1,SUM(G78),NA())</x:f>
        <x:v>1</x:v>
      </x:c>
      <x:c r="I78" s="23" t="str">
        <x:v>Історична</x:v>
      </x:c>
      <x:c r="J78" s="2"/>
      <x:c r="K78" s="9" t="str">
        <x:v>Початкова декомпозиція №02, фіча 4, крок 1</x:v>
      </x:c>
      <x:c r="L78" s="9" t="str">
        <x:v>Готові імпорт, вхід і категорії. Це пропозиції нових правил, не автоматичне переписування журналу. Ціну API оцінюємо перед експериментом окремо.</x:v>
      </x:c>
    </x:row>
    <x:row r="79" ht="53" customHeight="1">
      <x:c r="A79" s="20" t="n">
        <x:v>4</x:v>
      </x:c>
      <x:c r="B79" s="20" t="str">
        <x:v>4.L2</x:v>
      </x:c>
      <x:c r="C79" s="20" t="str">
        <x:v>Won’t</x:v>
      </x:c>
      <x:c r="D79" s="21" t="str">
        <x:v>Один API-виклик, структурована відповідь, ліміт і тайм-аут</x:v>
      </x:c>
      <x:c r="E79" s="11"/>
      <x:c r="F79" s="11"/>
      <x:c r="G79" s="14" t="n">
        <x:v>2</x:v>
      </x:c>
      <x:c r="H79" s="11" t="n">
        <x:f>IF(COUNT(G79)=1,SUM(G79),NA())</x:f>
        <x:v>2</x:v>
      </x:c>
      <x:c r="I79" s="20" t="str">
        <x:v>Історична</x:v>
      </x:c>
      <x:c r="J79" s="2"/>
      <x:c r="K79" s="9" t="str">
        <x:v>Початкова декомпозиція №02, фіча 4, крок 2</x:v>
      </x:c>
      <x:c r="L79" s="9" t="str">
        <x:v>Готові імпорт, вхід і категорії. Це пропозиції нових правил, не автоматичне переписування журналу. Ціну API оцінюємо перед експериментом окремо.</x:v>
      </x:c>
    </x:row>
    <x:row r="80" ht="53" customHeight="1">
      <x:c r="A80" s="20" t="n">
        <x:v>4</x:v>
      </x:c>
      <x:c r="B80" s="20" t="str">
        <x:v>4.L3</x:v>
      </x:c>
      <x:c r="C80" s="20" t="str">
        <x:v>Won’t</x:v>
      </x:c>
      <x:c r="D80" s="21" t="str">
        <x:v>Підтвердження людиною та запис схваленого правила в rules.csv</x:v>
      </x:c>
      <x:c r="E80" s="11"/>
      <x:c r="F80" s="11"/>
      <x:c r="G80" s="14" t="n">
        <x:v>2</x:v>
      </x:c>
      <x:c r="H80" s="11" t="n">
        <x:f>IF(COUNT(G80)=1,SUM(G80),NA())</x:f>
        <x:v>2</x:v>
      </x:c>
      <x:c r="I80" s="20" t="str">
        <x:v>Історична</x:v>
      </x:c>
      <x:c r="J80" s="2"/>
      <x:c r="K80" s="9" t="str">
        <x:v>Початкова декомпозиція №02, фіча 4, крок 3</x:v>
      </x:c>
      <x:c r="L80" s="9" t="str">
        <x:v>Готові імпорт, вхід і категорії. Це пропозиції нових правил, не автоматичне переписування журналу. Ціну API оцінюємо перед експериментом окремо.</x:v>
      </x:c>
    </x:row>
    <x:row r="81" ht="53" customHeight="1">
      <x:c r="A81" s="20" t="n">
        <x:v>4</x:v>
      </x:c>
      <x:c r="B81" s="20" t="str">
        <x:v>4.L4</x:v>
      </x:c>
      <x:c r="C81" s="20" t="str">
        <x:v>Won’t</x:v>
      </x:c>
      <x:c r="D81" s="21" t="str">
        <x:v>Повтори запитів, витрати API й безпечна відмова до ручного розбору</x:v>
      </x:c>
      <x:c r="E81" s="11"/>
      <x:c r="F81" s="11"/>
      <x:c r="G81" s="14" t="n">
        <x:v>1</x:v>
      </x:c>
      <x:c r="H81" s="11" t="n">
        <x:f>IF(COUNT(G81)=1,SUM(G81),NA())</x:f>
        <x:v>1</x:v>
      </x:c>
      <x:c r="I81" s="20" t="str">
        <x:v>Історична</x:v>
      </x:c>
      <x:c r="J81" s="2"/>
      <x:c r="K81" s="9" t="str">
        <x:v>Початкова декомпозиція №02, фіча 4, крок 4</x:v>
      </x:c>
      <x:c r="L81" s="9" t="str">
        <x:v>Готові імпорт, вхід і категорії. Це пропозиції нових правил, не автоматичне переписування журналу. Ціну API оцінюємо перед експериментом окремо.</x:v>
      </x:c>
    </x:row>
    <x:row r="82" ht="53" customHeight="1">
      <x:c r="A82" s="20" t="n">
        <x:v>4</x:v>
      </x:c>
      <x:c r="B82" s="20" t="str">
        <x:v>4.L5</x:v>
      </x:c>
      <x:c r="C82" s="20" t="str">
        <x:v>Won’t</x:v>
      </x:c>
      <x:c r="D82" s="21" t="str">
        <x:v>Перевірка хибних категорій, повторного імпорту й приватності</x:v>
      </x:c>
      <x:c r="E82" s="11"/>
      <x:c r="F82" s="11"/>
      <x:c r="G82" s="14" t="n">
        <x:v>2</x:v>
      </x:c>
      <x:c r="H82" s="11" t="n">
        <x:f>IF(COUNT(G82)=1,SUM(G82),NA())</x:f>
        <x:v>2</x:v>
      </x:c>
      <x:c r="I82" s="20" t="str">
        <x:v>Історична</x:v>
      </x:c>
      <x:c r="J82" s="2"/>
      <x:c r="K82" s="9" t="str">
        <x:v>Початкова декомпозиція №02, фіча 4, крок 5</x:v>
      </x:c>
      <x:c r="L82" s="9" t="str">
        <x:v>Готові імпорт, вхід і категорії. Це пропозиції нових правил, не автоматичне переписування журналу. Ціну API оцінюємо перед експериментом окремо.</x:v>
      </x:c>
    </x:row>
    <x:row r="83" ht="38" customHeight="1">
      <x:c r="A83" s="23" t="n">
        <x:v>7</x:v>
      </x:c>
      <x:c r="B83" s="23" t="str">
        <x:v>7.L1</x:v>
      </x:c>
      <x:c r="C83" s="23" t="str">
        <x:v>Won’t</x:v>
      </x:c>
      <x:c r="D83" s="24" t="str">
        <x:v>Повторне використання вебверсії у спільній оболонці iOS/Android</x:v>
      </x:c>
      <x:c r="E83" s="18"/>
      <x:c r="F83" s="18"/>
      <x:c r="G83" s="17" t="n">
        <x:v>12</x:v>
      </x:c>
      <x:c r="H83" s="18" t="n">
        <x:f>IF(COUNT(G83)=1,SUM(G83),NA())</x:f>
        <x:v>12</x:v>
      </x:c>
      <x:c r="I83" s="23" t="str">
        <x:v>Історична</x:v>
      </x:c>
      <x:c r="J83" s="2"/>
      <x:c r="K83" s="9" t="str">
        <x:v>Початкова декомпозиція №02, фіча 7, крок 1</x:v>
      </x:c>
      <x:c r="L83" s="9" t="str">
        <x:v>Нижня межа для оболонки готового вебпродукту, не двох застосунків із нуля. Строк схвалення сторів невідомий; внески $124 окремо.</x:v>
      </x:c>
    </x:row>
    <x:row r="84" ht="38" customHeight="1">
      <x:c r="A84" s="20" t="n">
        <x:v>7</x:v>
      </x:c>
      <x:c r="B84" s="20" t="str">
        <x:v>7.L2</x:v>
      </x:c>
      <x:c r="C84" s="20" t="str">
        <x:v>Won’t</x:v>
      </x:c>
      <x:c r="D84" s="21" t="str">
        <x:v>Вхід, сесії й навігація на двох платформах</x:v>
      </x:c>
      <x:c r="E84" s="11"/>
      <x:c r="F84" s="11"/>
      <x:c r="G84" s="14" t="n">
        <x:v>8</x:v>
      </x:c>
      <x:c r="H84" s="11" t="n">
        <x:f>IF(COUNT(G84)=1,SUM(G84),NA())</x:f>
        <x:v>8</x:v>
      </x:c>
      <x:c r="I84" s="20" t="str">
        <x:v>Історична</x:v>
      </x:c>
      <x:c r="J84" s="2"/>
      <x:c r="K84" s="9" t="str">
        <x:v>Початкова декомпозиція №02, фіча 7, крок 2</x:v>
      </x:c>
      <x:c r="L84" s="9" t="str">
        <x:v>Нижня межа для оболонки готового вебпродукту, не двох застосунків із нуля. Строк схвалення сторів невідомий; внески $124 окремо.</x:v>
      </x:c>
    </x:row>
    <x:row r="85" ht="38" customHeight="1">
      <x:c r="A85" s="20" t="n">
        <x:v>7</x:v>
      </x:c>
      <x:c r="B85" s="20" t="str">
        <x:v>7.L3</x:v>
      </x:c>
      <x:c r="C85" s="20" t="str">
        <x:v>Won’t</x:v>
      </x:c>
      <x:c r="D85" s="21" t="str">
        <x:v>Збірки, підписування та перевірка на пристроях</x:v>
      </x:c>
      <x:c r="E85" s="11"/>
      <x:c r="F85" s="11"/>
      <x:c r="G85" s="14" t="n">
        <x:v>8</x:v>
      </x:c>
      <x:c r="H85" s="11" t="n">
        <x:f>IF(COUNT(G85)=1,SUM(G85),NA())</x:f>
        <x:v>8</x:v>
      </x:c>
      <x:c r="I85" s="20" t="str">
        <x:v>Історична</x:v>
      </x:c>
      <x:c r="J85" s="2"/>
      <x:c r="K85" s="9" t="str">
        <x:v>Початкова декомпозиція №02, фіча 7, крок 3</x:v>
      </x:c>
      <x:c r="L85" s="9" t="str">
        <x:v>Нижня межа для оболонки готового вебпродукту, не двох застосунків із нуля. Строк схвалення сторів невідомий; внески $124 окремо.</x:v>
      </x:c>
    </x:row>
    <x:row r="86" ht="38" customHeight="1">
      <x:c r="A86" s="20" t="n">
        <x:v>7</x:v>
      </x:c>
      <x:c r="B86" s="20" t="str">
        <x:v>7.L4</x:v>
      </x:c>
      <x:c r="C86" s="20" t="str">
        <x:v>Won’t</x:v>
      </x:c>
      <x:c r="D86" s="21" t="str">
        <x:v>Метадані, політики й подання у два стори</x:v>
      </x:c>
      <x:c r="E86" s="11"/>
      <x:c r="F86" s="11"/>
      <x:c r="G86" s="14" t="n">
        <x:v>8</x:v>
      </x:c>
      <x:c r="H86" s="11" t="n">
        <x:f>IF(COUNT(G86)=1,SUM(G86),NA())</x:f>
        <x:v>8</x:v>
      </x:c>
      <x:c r="I86" s="20" t="str">
        <x:v>Історична</x:v>
      </x:c>
      <x:c r="J86" s="2"/>
      <x:c r="K86" s="9" t="str">
        <x:v>Початкова декомпозиція №02, фіча 7, крок 4</x:v>
      </x:c>
      <x:c r="L86" s="9" t="str">
        <x:v>Нижня межа для оболонки готового вебпродукту, не двох застосунків із нуля. Строк схвалення сторів невідомий; внески $124 окремо.</x:v>
      </x:c>
    </x:row>
    <x:row r="87" ht="38" customHeight="1">
      <x:c r="A87" s="20" t="n">
        <x:v>7</x:v>
      </x:c>
      <x:c r="B87" s="20" t="str">
        <x:v>7.L5</x:v>
      </x:c>
      <x:c r="C87" s="20" t="str">
        <x:v>Won’t</x:v>
      </x:c>
      <x:c r="D87" s="21" t="str">
        <x:v>Початкові виправлення за результатом перевірки</x:v>
      </x:c>
      <x:c r="E87" s="11"/>
      <x:c r="F87" s="11"/>
      <x:c r="G87" s="14" t="n">
        <x:v>4</x:v>
      </x:c>
      <x:c r="H87" s="11" t="n">
        <x:f>IF(COUNT(G87)=1,SUM(G87),NA())</x:f>
        <x:v>4</x:v>
      </x:c>
      <x:c r="I87" s="20" t="str">
        <x:v>Історична</x:v>
      </x:c>
      <x:c r="J87" s="2"/>
      <x:c r="K87" s="9" t="str">
        <x:v>Початкова декомпозиція №02, фіча 7, крок 5</x:v>
      </x:c>
      <x:c r="L87" s="9" t="str">
        <x:v>Нижня межа для оболонки готового вебпродукту, не двох застосунків із нуля. Строк схвалення сторів невідомий; внески $124 окремо.</x:v>
      </x:c>
    </x:row>
    <x:row r="88" ht="53" customHeight="1">
      <x:c r="A88" s="23" t="n">
        <x:v>11</x:v>
      </x:c>
      <x:c r="B88" s="23" t="str">
        <x:v>11.L1</x:v>
      </x:c>
      <x:c r="C88" s="23" t="str">
        <x:v>Won’t</x:v>
      </x:c>
      <x:c r="D88" s="24" t="str">
        <x:v>Фото з телефона, обмеження розміру й типу файлу</x:v>
      </x:c>
      <x:c r="E88" s="18"/>
      <x:c r="F88" s="18"/>
      <x:c r="G88" s="17" t="n">
        <x:v>2</x:v>
      </x:c>
      <x:c r="H88" s="18" t="n">
        <x:f>IF(COUNT(G88)=1,SUM(G88),NA())</x:f>
        <x:v>2</x:v>
      </x:c>
      <x:c r="I88" s="23" t="str">
        <x:v>Історична</x:v>
      </x:c>
      <x:c r="J88" s="2"/>
      <x:c r="K88" s="9" t="str">
        <x:v>Початкова декомпозиція №02, фіча 11, крок 1</x:v>
      </x:c>
      <x:c r="L88" s="9" t="str">
        <x:v>Готові 6/12; один чек — одна підтверджена операція, без поділу товарів між людьми. API, якість мов і підтримку перевіряємо перед запуском.</x:v>
      </x:c>
    </x:row>
    <x:row r="89" ht="53" customHeight="1">
      <x:c r="A89" s="20" t="n">
        <x:v>11</x:v>
      </x:c>
      <x:c r="B89" s="20" t="str">
        <x:v>11.L2</x:v>
      </x:c>
      <x:c r="C89" s="20" t="str">
        <x:v>Won’t</x:v>
      </x:c>
      <x:c r="D89" s="21" t="str">
        <x:v>Розпізнавання продавця, дати й підсумку через готовий сервіс</x:v>
      </x:c>
      <x:c r="E89" s="11"/>
      <x:c r="F89" s="11"/>
      <x:c r="G89" s="14" t="n">
        <x:v>4</x:v>
      </x:c>
      <x:c r="H89" s="11" t="n">
        <x:f>IF(COUNT(G89)=1,SUM(G89),NA())</x:f>
        <x:v>4</x:v>
      </x:c>
      <x:c r="I89" s="20" t="str">
        <x:v>Історична</x:v>
      </x:c>
      <x:c r="J89" s="2"/>
      <x:c r="K89" s="9" t="str">
        <x:v>Початкова декомпозиція №02, фіча 11, крок 2</x:v>
      </x:c>
      <x:c r="L89" s="9" t="str">
        <x:v>Готові 6/12; один чек — одна підтверджена операція, без поділу товарів між людьми. API, якість мов і підтримку перевіряємо перед запуском.</x:v>
      </x:c>
    </x:row>
    <x:row r="90" ht="53" customHeight="1">
      <x:c r="A90" s="20" t="n">
        <x:v>11</x:v>
      </x:c>
      <x:c r="B90" s="20" t="str">
        <x:v>11.L3</x:v>
      </x:c>
      <x:c r="C90" s="20" t="str">
        <x:v>Won’t</x:v>
      </x:c>
      <x:c r="D90" s="21" t="str">
        <x:v>Екран виправлення та підтвердження людиною</x:v>
      </x:c>
      <x:c r="E90" s="11"/>
      <x:c r="F90" s="11"/>
      <x:c r="G90" s="14" t="n">
        <x:v>4</x:v>
      </x:c>
      <x:c r="H90" s="11" t="n">
        <x:f>IF(COUNT(G90)=1,SUM(G90),NA())</x:f>
        <x:v>4</x:v>
      </x:c>
      <x:c r="I90" s="20" t="str">
        <x:v>Історична</x:v>
      </x:c>
      <x:c r="J90" s="2"/>
      <x:c r="K90" s="9" t="str">
        <x:v>Початкова декомпозиція №02, фіча 11, крок 3</x:v>
      </x:c>
      <x:c r="L90" s="9" t="str">
        <x:v>Готові 6/12; один чек — одна підтверджена операція, без поділу товарів між людьми. API, якість мов і підтримку перевіряємо перед запуском.</x:v>
      </x:c>
    </x:row>
    <x:row r="91" ht="53" customHeight="1">
      <x:c r="A91" s="20" t="n">
        <x:v>11</x:v>
      </x:c>
      <x:c r="B91" s="20" t="str">
        <x:v>11.L4</x:v>
      </x:c>
      <x:c r="C91" s="20" t="str">
        <x:v>Won’t</x:v>
      </x:c>
      <x:c r="D91" s="21" t="str">
        <x:v>Збереження через готову форму готівки й виявлення повтору</x:v>
      </x:c>
      <x:c r="E91" s="11"/>
      <x:c r="F91" s="11"/>
      <x:c r="G91" s="14" t="n">
        <x:v>2</x:v>
      </x:c>
      <x:c r="H91" s="11" t="n">
        <x:f>IF(COUNT(G91)=1,SUM(G91),NA())</x:f>
        <x:v>2</x:v>
      </x:c>
      <x:c r="I91" s="20" t="str">
        <x:v>Історична</x:v>
      </x:c>
      <x:c r="J91" s="2"/>
      <x:c r="K91" s="9" t="str">
        <x:v>Початкова декомпозиція №02, фіча 11, крок 4</x:v>
      </x:c>
      <x:c r="L91" s="9" t="str">
        <x:v>Готові 6/12; один чек — одна підтверджена операція, без поділу товарів між людьми. API, якість мов і підтримку перевіряємо перед запуском.</x:v>
      </x:c>
    </x:row>
    <x:row r="92" ht="53" customHeight="1">
      <x:c r="A92" s="20" t="n">
        <x:v>11</x:v>
      </x:c>
      <x:c r="B92" s="20" t="str">
        <x:v>11.L5</x:v>
      </x:c>
      <x:c r="C92" s="20" t="str">
        <x:v>Won’t</x:v>
      </x:c>
      <x:c r="D92" s="21" t="str">
        <x:v>Перевірка поганих фото, хибних сум, видалення фото й доступу</x:v>
      </x:c>
      <x:c r="E92" s="11"/>
      <x:c r="F92" s="11"/>
      <x:c r="G92" s="14" t="n">
        <x:v>4</x:v>
      </x:c>
      <x:c r="H92" s="11" t="n">
        <x:f>IF(COUNT(G92)=1,SUM(G92),NA())</x:f>
        <x:v>4</x:v>
      </x:c>
      <x:c r="I92" s="20" t="str">
        <x:v>Історична</x:v>
      </x:c>
      <x:c r="J92" s="2"/>
      <x:c r="K92" s="9" t="str">
        <x:v>Початкова декомпозиція №02, фіча 11, крок 5</x:v>
      </x:c>
      <x:c r="L92" s="9" t="str">
        <x:v>Готові 6/12; один чек — одна підтверджена операція, без поділу товарів між людьми. API, якість мов і підтримку перевіряємо перед запуском.</x:v>
      </x:c>
    </x:row>
    <x:row r="93" ht="53" customHeight="1">
      <x:c r="A93" s="23" t="n">
        <x:v>13</x:v>
      </x:c>
      <x:c r="B93" s="23" t="str">
        <x:v>13.L1</x:v>
      </x:c>
      <x:c r="C93" s="23" t="str">
        <x:v>Won’t</x:v>
      </x:c>
      <x:c r="D93" s="24" t="str">
        <x:v>Дозволені питання й відбір мінімальних даних із перевіркою прав</x:v>
      </x:c>
      <x:c r="E93" s="18"/>
      <x:c r="F93" s="18"/>
      <x:c r="G93" s="17" t="n">
        <x:v>3</x:v>
      </x:c>
      <x:c r="H93" s="18" t="n">
        <x:f>IF(COUNT(G93)=1,SUM(G93),NA())</x:f>
        <x:v>3</x:v>
      </x:c>
      <x:c r="I93" s="23" t="str">
        <x:v>Історична</x:v>
      </x:c>
      <x:c r="J93" s="2"/>
      <x:c r="K93" s="9" t="str">
        <x:v>Початкова декомпозиція №02, фіча 13, крок 1</x:v>
      </x:c>
      <x:c r="L93" s="9" t="str">
        <x:v>Готові звіт і права. Обмежений помічник лише для читання; не довільний чат із цілим журналом. API оплачується окремо; річної дати запуску немає.</x:v>
      </x:c>
    </x:row>
    <x:row r="94" ht="53" customHeight="1">
      <x:c r="A94" s="20" t="n">
        <x:v>13</x:v>
      </x:c>
      <x:c r="B94" s="20" t="str">
        <x:v>13.L2</x:v>
      </x:c>
      <x:c r="C94" s="20" t="str">
        <x:v>Won’t</x:v>
      </x:c>
      <x:c r="D94" s="21" t="str">
        <x:v>API, структуровані параметри запиту, тайм-аути й ліміти</x:v>
      </x:c>
      <x:c r="E94" s="11"/>
      <x:c r="F94" s="11"/>
      <x:c r="G94" s="14" t="n">
        <x:v>3</x:v>
      </x:c>
      <x:c r="H94" s="11" t="n">
        <x:f>IF(COUNT(G94)=1,SUM(G94),NA())</x:f>
        <x:v>3</x:v>
      </x:c>
      <x:c r="I94" s="20" t="str">
        <x:v>Історична</x:v>
      </x:c>
      <x:c r="J94" s="2"/>
      <x:c r="K94" s="9" t="str">
        <x:v>Початкова декомпозиція №02, фіча 13, крок 2</x:v>
      </x:c>
      <x:c r="L94" s="9" t="str">
        <x:v>Готові звіт і права. Обмежений помічник лише для читання; не довільний чат із цілим журналом. API оплачується окремо; річної дати запуску немає.</x:v>
      </x:c>
    </x:row>
    <x:row r="95" ht="53" customHeight="1">
      <x:c r="A95" s="20" t="n">
        <x:v>13</x:v>
      </x:c>
      <x:c r="B95" s="20" t="str">
        <x:v>13.L3</x:v>
      </x:c>
      <x:c r="C95" s="20" t="str">
        <x:v>Won’t</x:v>
      </x:c>
      <x:c r="D95" s="21" t="str">
        <x:v>Виконання дозволених розрахунків програмою, без довільного коду/SQL</x:v>
      </x:c>
      <x:c r="E95" s="11"/>
      <x:c r="F95" s="11"/>
      <x:c r="G95" s="14" t="n">
        <x:v>4</x:v>
      </x:c>
      <x:c r="H95" s="11" t="n">
        <x:f>IF(COUNT(G95)=1,SUM(G95),NA())</x:f>
        <x:v>4</x:v>
      </x:c>
      <x:c r="I95" s="20" t="str">
        <x:v>Історична</x:v>
      </x:c>
      <x:c r="J95" s="2"/>
      <x:c r="K95" s="9" t="str">
        <x:v>Початкова декомпозиція №02, фіча 13, крок 3</x:v>
      </x:c>
      <x:c r="L95" s="9" t="str">
        <x:v>Готові звіт і права. Обмежений помічник лише для читання; не довільний чат із цілим журналом. API оплачується окремо; річної дати запуску немає.</x:v>
      </x:c>
    </x:row>
    <x:row r="96" ht="53" customHeight="1">
      <x:c r="A96" s="20" t="n">
        <x:v>13</x:v>
      </x:c>
      <x:c r="B96" s="20" t="str">
        <x:v>13.L4</x:v>
      </x:c>
      <x:c r="C96" s="20" t="str">
        <x:v>Won’t</x:v>
      </x:c>
      <x:c r="D96" s="21" t="str">
        <x:v>Поле питання, відповідь і згода на передачу даних</x:v>
      </x:c>
      <x:c r="E96" s="11"/>
      <x:c r="F96" s="11"/>
      <x:c r="G96" s="14" t="n">
        <x:v>2</x:v>
      </x:c>
      <x:c r="H96" s="11" t="n">
        <x:f>IF(COUNT(G96)=1,SUM(G96),NA())</x:f>
        <x:v>2</x:v>
      </x:c>
      <x:c r="I96" s="20" t="str">
        <x:v>Історична</x:v>
      </x:c>
      <x:c r="J96" s="2"/>
      <x:c r="K96" s="9" t="str">
        <x:v>Початкова декомпозиція №02, фіча 13, крок 4</x:v>
      </x:c>
      <x:c r="L96" s="9" t="str">
        <x:v>Готові звіт і права. Обмежений помічник лише для читання; не довільний чат із цілим журналом. API оплачується окремо; річної дати запуску немає.</x:v>
      </x:c>
    </x:row>
    <x:row r="97" ht="53" customHeight="1">
      <x:c r="A97" s="20" t="n">
        <x:v>13</x:v>
      </x:c>
      <x:c r="B97" s="20" t="str">
        <x:v>13.L5</x:v>
      </x:c>
      <x:c r="C97" s="20" t="str">
        <x:v>Won’t</x:v>
      </x:c>
      <x:c r="D97" s="21" t="str">
        <x:v>Звірка сум, недостовірних відповідей і спроб отримати чужі дані</x:v>
      </x:c>
      <x:c r="E97" s="11"/>
      <x:c r="F97" s="11"/>
      <x:c r="G97" s="14" t="n">
        <x:v>4</x:v>
      </x:c>
      <x:c r="H97" s="11" t="n">
        <x:f>IF(COUNT(G97)=1,SUM(G97),NA())</x:f>
        <x:v>4</x:v>
      </x:c>
      <x:c r="I97" s="20" t="str">
        <x:v>Історична</x:v>
      </x:c>
      <x:c r="J97" s="2"/>
      <x:c r="K97" s="9" t="str">
        <x:v>Початкова декомпозиція №02, фіча 13, крок 5</x:v>
      </x:c>
      <x:c r="L97" s="9" t="str">
        <x:v>Готові звіт і права. Обмежений помічник лише для читання; не довільний чат із цілим журналом. API оплачується окремо; річної дати запуску немає.</x:v>
      </x:c>
    </x:row>
    <x:row r="98" ht="38" customHeight="1">
      <x:c r="A98" s="23" t="n">
        <x:v>15</x:v>
      </x:c>
      <x:c r="B98" s="23" t="str">
        <x:v>15.L1</x:v>
      </x:c>
      <x:c r="C98" s="23" t="str">
        <x:v>Won’t</x:v>
      </x:c>
      <x:c r="D98" s="24" t="str">
        <x:v>Оригінальна валюта в рахунках та адаптерах імпорту</x:v>
      </x:c>
      <x:c r="E98" s="18"/>
      <x:c r="F98" s="18"/>
      <x:c r="G98" s="17" t="n">
        <x:v>3</x:v>
      </x:c>
      <x:c r="H98" s="18" t="n">
        <x:f>IF(COUNT(G98)=1,SUM(G98),NA())</x:f>
        <x:v>3</x:v>
      </x:c>
      <x:c r="I98" s="23" t="str">
        <x:v>Історична</x:v>
      </x:c>
      <x:c r="J98" s="2"/>
      <x:c r="K98" s="9" t="str">
        <x:v>Початкова декомпозиція №02, фіча 15, крок 1</x:v>
      </x:c>
      <x:c r="L98" s="9" t="str">
        <x:v>Обмежений набір валют і одне доступне джерело курсів. Без курсових прибутків від торгівлі; зараз лише PLN.</x:v>
      </x:c>
    </x:row>
    <x:row r="99" ht="38" customHeight="1">
      <x:c r="A99" s="20" t="n">
        <x:v>15</x:v>
      </x:c>
      <x:c r="B99" s="20" t="str">
        <x:v>15.L2</x:v>
      </x:c>
      <x:c r="C99" s="20" t="str">
        <x:v>Won’t</x:v>
      </x:c>
      <x:c r="D99" s="21" t="str">
        <x:v>Джерело курсу, дата, кеш і відсутні курси</x:v>
      </x:c>
      <x:c r="E99" s="11"/>
      <x:c r="F99" s="11"/>
      <x:c r="G99" s="14" t="n">
        <x:v>3</x:v>
      </x:c>
      <x:c r="H99" s="11" t="n">
        <x:f>IF(COUNT(G99)=1,SUM(G99),NA())</x:f>
        <x:v>3</x:v>
      </x:c>
      <x:c r="I99" s="20" t="str">
        <x:v>Історична</x:v>
      </x:c>
      <x:c r="J99" s="2"/>
      <x:c r="K99" s="9" t="str">
        <x:v>Початкова декомпозиція №02, фіча 15, крок 2</x:v>
      </x:c>
      <x:c r="L99" s="9" t="str">
        <x:v>Обмежений набір валют і одне доступне джерело курсів. Без курсових прибутків від торгівлі; зараз лише PLN.</x:v>
      </x:c>
    </x:row>
    <x:row r="100" ht="38" customHeight="1">
      <x:c r="A100" s="20" t="n">
        <x:v>15</x:v>
      </x:c>
      <x:c r="B100" s="20" t="str">
        <x:v>15.L3</x:v>
      </x:c>
      <x:c r="C100" s="20" t="str">
        <x:v>Won’t</x:v>
      </x:c>
      <x:c r="D100" s="21" t="str">
        <x:v>Показ оригіналу й перерахунок звіту в PLN</x:v>
      </x:c>
      <x:c r="E100" s="11"/>
      <x:c r="F100" s="11"/>
      <x:c r="G100" s="14" t="n">
        <x:v>3</x:v>
      </x:c>
      <x:c r="H100" s="11" t="n">
        <x:f>IF(COUNT(G100)=1,SUM(G100),NA())</x:f>
        <x:v>3</x:v>
      </x:c>
      <x:c r="I100" s="20" t="str">
        <x:v>Історична</x:v>
      </x:c>
      <x:c r="J100" s="2"/>
      <x:c r="K100" s="9" t="str">
        <x:v>Початкова декомпозиція №02, фіча 15, крок 3</x:v>
      </x:c>
      <x:c r="L100" s="9" t="str">
        <x:v>Обмежений набір валют і одне доступне джерело курсів. Без курсових прибутків від торгівлі; зараз лише PLN.</x:v>
      </x:c>
    </x:row>
    <x:row r="101" ht="38" customHeight="1">
      <x:c r="A101" s="20" t="n">
        <x:v>15</x:v>
      </x:c>
      <x:c r="B101" s="20" t="str">
        <x:v>15.L4</x:v>
      </x:c>
      <x:c r="C101" s="20" t="str">
        <x:v>Won’t</x:v>
      </x:c>
      <x:c r="D101" s="21" t="str">
        <x:v>Звірка округлення, дат і подвійної конвертації</x:v>
      </x:c>
      <x:c r="E101" s="11"/>
      <x:c r="F101" s="11"/>
      <x:c r="G101" s="14" t="n">
        <x:v>3</x:v>
      </x:c>
      <x:c r="H101" s="11" t="n">
        <x:f>IF(COUNT(G101)=1,SUM(G101),NA())</x:f>
        <x:v>3</x:v>
      </x:c>
      <x:c r="I101" s="20" t="str">
        <x:v>Історична</x:v>
      </x:c>
      <x:c r="J101" s="2"/>
      <x:c r="K101" s="9" t="str">
        <x:v>Початкова декомпозиція №02, фіча 15, крок 4</x:v>
      </x:c>
      <x:c r="L101" s="9" t="str">
        <x:v>Обмежений набір валют і одне доступне джерело курсів. Без курсових прибутків від торгівлі; зараз лише PLN.</x:v>
      </x:c>
    </x:row>
    <x:row r="102" ht="53" customHeight="1">
      <x:c r="A102" s="23" t="n">
        <x:v>16</x:v>
      </x:c>
      <x:c r="B102" s="23" t="str">
        <x:v>16.L1</x:v>
      </x:c>
      <x:c r="C102" s="23" t="str">
        <x:v>Won’t</x:v>
      </x:c>
      <x:c r="D102" s="24" t="str">
        <x:v>Рахунки, один тип активу й кількість одиниць</x:v>
      </x:c>
      <x:c r="E102" s="18"/>
      <x:c r="F102" s="18"/>
      <x:c r="G102" s="17" t="n">
        <x:v>4</x:v>
      </x:c>
      <x:c r="H102" s="18" t="n">
        <x:f>IF(COUNT(G102)=1,SUM(G102),NA())</x:f>
        <x:v>4</x:v>
      </x:c>
      <x:c r="I102" s="23" t="str">
        <x:v>Історична</x:v>
      </x:c>
      <x:c r="J102" s="2"/>
      <x:c r="K102" s="9" t="str">
        <x:v>Початкова декомпозиція №02, фіча 16, крок 1</x:v>
      </x:c>
      <x:c r="L102" s="9" t="str">
        <x:v>Простий ручний портфель, без брокерських інтеграцій, податкового звіту й складних інструментів. Повний інвестиційний продукт потребує нової оцінки.</x:v>
      </x:c>
    </x:row>
    <x:row r="103" ht="53" customHeight="1">
      <x:c r="A103" s="20" t="n">
        <x:v>16</x:v>
      </x:c>
      <x:c r="B103" s="20" t="str">
        <x:v>16.L2</x:v>
      </x:c>
      <x:c r="C103" s="20" t="str">
        <x:v>Won’t</x:v>
      </x:c>
      <x:c r="D103" s="21" t="str">
        <x:v>Покупка/продаж, комісії та введення поточної ціни</x:v>
      </x:c>
      <x:c r="E103" s="11"/>
      <x:c r="F103" s="11"/>
      <x:c r="G103" s="14" t="n">
        <x:v>4</x:v>
      </x:c>
      <x:c r="H103" s="11" t="n">
        <x:f>IF(COUNT(G103)=1,SUM(G103),NA())</x:f>
        <x:v>4</x:v>
      </x:c>
      <x:c r="I103" s="20" t="str">
        <x:v>Історична</x:v>
      </x:c>
      <x:c r="J103" s="2"/>
      <x:c r="K103" s="9" t="str">
        <x:v>Початкова декомпозиція №02, фіча 16, крок 2</x:v>
      </x:c>
      <x:c r="L103" s="9" t="str">
        <x:v>Простий ручний портфель, без брокерських інтеграцій, податкового звіту й складних інструментів. Повний інвестиційний продукт потребує нової оцінки.</x:v>
      </x:c>
    </x:row>
    <x:row r="104" ht="53" customHeight="1">
      <x:c r="A104" s="20" t="n">
        <x:v>16</x:v>
      </x:c>
      <x:c r="B104" s="20" t="str">
        <x:v>16.L3</x:v>
      </x:c>
      <x:c r="C104" s="20" t="str">
        <x:v>Won’t</x:v>
      </x:c>
      <x:c r="D104" s="21" t="str">
        <x:v>Вартість портфеля й відокремлення від побутових витрат</x:v>
      </x:c>
      <x:c r="E104" s="11"/>
      <x:c r="F104" s="11"/>
      <x:c r="G104" s="14" t="n">
        <x:v>4</x:v>
      </x:c>
      <x:c r="H104" s="11" t="n">
        <x:f>IF(COUNT(G104)=1,SUM(G104),NA())</x:f>
        <x:v>4</x:v>
      </x:c>
      <x:c r="I104" s="20" t="str">
        <x:v>Історична</x:v>
      </x:c>
      <x:c r="J104" s="2"/>
      <x:c r="K104" s="9" t="str">
        <x:v>Початкова декомпозиція №02, фіча 16, крок 3</x:v>
      </x:c>
      <x:c r="L104" s="9" t="str">
        <x:v>Простий ручний портфель, без брокерських інтеграцій, податкового звіту й складних інструментів. Повний інвестиційний продукт потребує нової оцінки.</x:v>
      </x:c>
    </x:row>
    <x:row r="105" ht="53" customHeight="1">
      <x:c r="A105" s="20" t="n">
        <x:v>16</x:v>
      </x:c>
      <x:c r="B105" s="20" t="str">
        <x:v>16.L4</x:v>
      </x:c>
      <x:c r="C105" s="20" t="str">
        <x:v>Won’t</x:v>
      </x:c>
      <x:c r="D105" s="21" t="str">
        <x:v>Звірка собівартості, продажу й оцінки портфеля</x:v>
      </x:c>
      <x:c r="E105" s="11"/>
      <x:c r="F105" s="11"/>
      <x:c r="G105" s="14" t="n">
        <x:v>4</x:v>
      </x:c>
      <x:c r="H105" s="11" t="n">
        <x:f>IF(COUNT(G105)=1,SUM(G105),NA())</x:f>
        <x:v>4</x:v>
      </x:c>
      <x:c r="I105" s="20" t="str">
        <x:v>Історична</x:v>
      </x:c>
      <x:c r="J105" s="2"/>
      <x:c r="K105" s="9" t="str">
        <x:v>Початкова декомпозиція №02, фіча 16, крок 4</x:v>
      </x:c>
      <x:c r="L105" s="9" t="str">
        <x:v>Простий ручний портфель, без брокерських інтеграцій, податкового звіту й складних інструментів. Повний інвестиційний продукт потребує нової оцінки.</x:v>
      </x:c>
    </x:row>
    <x:row r="106" ht="68" customHeight="1">
      <x:c r="A106" s="23" t="n">
        <x:v>18</x:v>
      </x:c>
      <x:c r="B106" s="23" t="str">
        <x:v>18.L1</x:v>
      </x:c>
      <x:c r="C106" s="23" t="str">
        <x:v>Won’t</x:v>
      </x:c>
      <x:c r="D106" s="24" t="str">
        <x:v>Перевірка законного доступу, умов, ціни й документації двох банків</x:v>
      </x:c>
      <x:c r="E106" s="18"/>
      <x:c r="F106" s="18"/>
      <x:c r="G106" s="17" t="n">
        <x:v>4</x:v>
      </x:c>
      <x:c r="H106" s="18" t="n">
        <x:f>IF(COUNT(G106)=1,SUM(G106),NA())</x:f>
        <x:v>4</x:v>
      </x:c>
      <x:c r="I106" s="23" t="str">
        <x:v>Історична</x:v>
      </x:c>
      <x:c r="J106" s="2"/>
      <x:c r="K106" s="9" t="str">
        <x:v>Початкова декомпозиція №02, фіча 18, крок 1</x:v>
      </x:c>
      <x:c r="L106" s="9" t="str">
        <x:v>Умовна нижня межа, лише якщо обидва банки мають придатний доступний API; перші 4 години можуть завершитися рішенням не інтегрувати. Ціна, сертифікація й тривала підтримка невідомі, тому строк не обіцяємо.</x:v>
      </x:c>
    </x:row>
    <x:row r="107" ht="68" customHeight="1">
      <x:c r="A107" s="20" t="n">
        <x:v>18</x:v>
      </x:c>
      <x:c r="B107" s="20" t="str">
        <x:v>18.L2</x:v>
      </x:c>
      <x:c r="C107" s="20" t="str">
        <x:v>Won’t</x:v>
      </x:c>
      <x:c r="D107" s="21" t="str">
        <x:v>Підключення й зберігання/оновлення токенів</x:v>
      </x:c>
      <x:c r="E107" s="11"/>
      <x:c r="F107" s="11"/>
      <x:c r="G107" s="14" t="n">
        <x:v>6</x:v>
      </x:c>
      <x:c r="H107" s="11" t="n">
        <x:f>IF(COUNT(G107)=1,SUM(G107),NA())</x:f>
        <x:v>6</x:v>
      </x:c>
      <x:c r="I107" s="20" t="str">
        <x:v>Історична</x:v>
      </x:c>
      <x:c r="J107" s="2"/>
      <x:c r="K107" s="9" t="str">
        <x:v>Початкова декомпозиція №02, фіча 18, крок 2</x:v>
      </x:c>
      <x:c r="L107" s="9" t="str">
        <x:v>Умовна нижня межа, лише якщо обидва банки мають придатний доступний API; перші 4 години можуть завершитися рішенням не інтегрувати. Ціна, сертифікація й тривала підтримка невідомі, тому строк не обіцяємо.</x:v>
      </x:c>
    </x:row>
    <x:row r="108" ht="68" customHeight="1">
      <x:c r="A108" s="20" t="n">
        <x:v>18</x:v>
      </x:c>
      <x:c r="B108" s="20" t="str">
        <x:v>18.L3</x:v>
      </x:c>
      <x:c r="C108" s="20" t="str">
        <x:v>Won’t</x:v>
      </x:c>
      <x:c r="D108" s="21" t="str">
        <x:v>Маппінг API до готової єдиної схеми фічі 2</x:v>
      </x:c>
      <x:c r="E108" s="11"/>
      <x:c r="F108" s="11"/>
      <x:c r="G108" s="14" t="n">
        <x:v>4</x:v>
      </x:c>
      <x:c r="H108" s="11" t="n">
        <x:f>IF(COUNT(G108)=1,SUM(G108),NA())</x:f>
        <x:v>4</x:v>
      </x:c>
      <x:c r="I108" s="20" t="str">
        <x:v>Історична</x:v>
      </x:c>
      <x:c r="J108" s="2"/>
      <x:c r="K108" s="9" t="str">
        <x:v>Початкова декомпозиція №02, фіча 18, крок 3</x:v>
      </x:c>
      <x:c r="L108" s="9" t="str">
        <x:v>Умовна нижня межа, лише якщо обидва банки мають придатний доступний API; перші 4 години можуть завершитися рішенням не інтегрувати. Ціна, сертифікація й тривала підтримка невідомі, тому строк не обіцяємо.</x:v>
      </x:c>
    </x:row>
    <x:row r="109" ht="68" customHeight="1">
      <x:c r="A109" s="20" t="n">
        <x:v>18</x:v>
      </x:c>
      <x:c r="B109" s="20" t="str">
        <x:v>18.L4</x:v>
      </x:c>
      <x:c r="C109" s="20" t="str">
        <x:v>Won’t</x:v>
      </x:c>
      <x:c r="D109" s="21" t="str">
        <x:v>Планові запуски, повтори, пагінація й захист від дублів</x:v>
      </x:c>
      <x:c r="E109" s="11"/>
      <x:c r="F109" s="11"/>
      <x:c r="G109" s="14" t="n">
        <x:v>4</x:v>
      </x:c>
      <x:c r="H109" s="11" t="n">
        <x:f>IF(COUNT(G109)=1,SUM(G109),NA())</x:f>
        <x:v>4</x:v>
      </x:c>
      <x:c r="I109" s="20" t="str">
        <x:v>Історична</x:v>
      </x:c>
      <x:c r="J109" s="2"/>
      <x:c r="K109" s="9" t="str">
        <x:v>Початкова декомпозиція №02, фіча 18, крок 4</x:v>
      </x:c>
      <x:c r="L109" s="9" t="str">
        <x:v>Умовна нижня межа, лише якщо обидва банки мають придатний доступний API; перші 4 години можуть завершитися рішенням не інтегрувати. Ціна, сертифікація й тривала підтримка невідомі, тому строк не обіцяємо.</x:v>
      </x:c>
    </x:row>
    <x:row r="110" ht="68" customHeight="1">
      <x:c r="A110" s="20" t="n">
        <x:v>18</x:v>
      </x:c>
      <x:c r="B110" s="20" t="str">
        <x:v>18.L5</x:v>
      </x:c>
      <x:c r="C110" s="20" t="str">
        <x:v>Won’t</x:v>
      </x:c>
      <x:c r="D110" s="21" t="str">
        <x:v>Звірка з CSV, відкликання доступу й відновлення після збою</x:v>
      </x:c>
      <x:c r="E110" s="11"/>
      <x:c r="F110" s="11"/>
      <x:c r="G110" s="14" t="n">
        <x:v>6</x:v>
      </x:c>
      <x:c r="H110" s="11" t="n">
        <x:f>IF(COUNT(G110)=1,SUM(G110),NA())</x:f>
        <x:v>6</x:v>
      </x:c>
      <x:c r="I110" s="20" t="str">
        <x:v>Історична</x:v>
      </x:c>
      <x:c r="J110" s="2"/>
      <x:c r="K110" s="9" t="str">
        <x:v>Початкова декомпозиція №02, фіча 18, крок 5</x:v>
      </x:c>
      <x:c r="L110" s="9" t="str">
        <x:v>Умовна нижня межа, лише якщо обидва банки мають придатний доступний API; перші 4 години можуть завершитися рішенням не інтегрувати. Ціна, сертифікація й тривала підтримка невідомі, тому строк не обіцяємо.</x:v>
      </x:c>
    </x:row>
    <x:row r="111" ht="38" customHeight="1">
      <x:c r="A111" s="15" t="str">
        <x:v>S0</x:v>
      </x:c>
      <x:c r="B111" s="15" t="str">
        <x:v>S0.1</x:v>
      </x:c>
      <x:c r="C111" s="15" t="str">
        <x:v>Спільні роботи</x:v>
      </x:c>
      <x:c r="D111" s="16" t="str">
        <x:v>Узгодити джерела істини, власника/платника, ID, межі виписки й контракт спільної суми; записати рішення</x:v>
      </x:c>
      <x:c r="E111" s="17" t="n">
        <x:v>2</x:v>
      </x:c>
      <x:c r="F111" s="17" t="n">
        <x:v>1</x:v>
      </x:c>
      <x:c r="G111" s="18"/>
      <x:c r="H111" s="18" t="n">
        <x:f>IF(COUNT(E111:F111)=2,SUM(E111:F111),NA())</x:f>
        <x:v>3</x:v>
      </x:c>
      <x:c r="I111" s="15" t="str">
        <x:v>Поточна</x:v>
      </x:c>
      <x:c r="J111" s="2"/>
      <x:c r="K111" s="9" t="str">
        <x:v>Аналіз коду №12, S0.1</x:v>
      </x:c>
      <x:c r="L111" s="9" t="str">
        <x:v>Спільна основа для №2/6/9/12; фінансові алгоритми залишаються у №9.</x:v>
      </x:c>
    </x:row>
    <x:row r="112" ht="38" customHeight="1">
      <x:c r="A112" s="12" t="str">
        <x:v>S0</x:v>
      </x:c>
      <x:c r="B112" s="12" t="str">
        <x:v>S0.2</x:v>
      </x:c>
      <x:c r="C112" s="12" t="str">
        <x:v>Спільні роботи</x:v>
      </x:c>
      <x:c r="D112" s="9" t="str">
        <x:v>Схема SQLite для ручних операцій, розподілів і погашень; початкове створення/версія схеми та функції читання/запису</x:v>
      </x:c>
      <x:c r="E112" s="14" t="n">
        <x:v>2</x:v>
      </x:c>
      <x:c r="F112" s="14" t="n">
        <x:v>0.5</x:v>
      </x:c>
      <x:c r="G112" s="11"/>
      <x:c r="H112" s="11" t="n">
        <x:f>IF(COUNT(E112:F112)=2,SUM(E112:F112),NA())</x:f>
        <x:v>2.5</x:v>
      </x:c>
      <x:c r="I112" s="12" t="str">
        <x:v>Поточна</x:v>
      </x:c>
      <x:c r="J112" s="2"/>
      <x:c r="K112" s="9" t="str">
        <x:v>Аналіз коду №12, S0.2</x:v>
      </x:c>
      <x:c r="L112" s="9" t="str">
        <x:v>Спільна основа для №2/6/9/12; фінансові алгоритми залишаються у №9.</x:v>
      </x:c>
    </x:row>
    <x:row r="113" ht="38" customHeight="1">
      <x:c r="A113" s="12" t="str">
        <x:v>S0</x:v>
      </x:c>
      <x:c r="B113" s="12" t="str">
        <x:v>S0.3</x:v>
      </x:c>
      <x:c r="C113" s="12" t="str">
        <x:v>Спільні роботи</x:v>
      </x:c>
      <x:c r="D113" s="9" t="str">
        <x:v>Спільний адаптер банківських/ручних даних до обліку, контракт читання для звіту, окремі генеровані файли</x:v>
      </x:c>
      <x:c r="E113" s="14" t="n">
        <x:v>2</x:v>
      </x:c>
      <x:c r="F113" s="14" t="n">
        <x:v>1</x:v>
      </x:c>
      <x:c r="G113" s="11"/>
      <x:c r="H113" s="11" t="n">
        <x:f>IF(COUNT(E113:F113)=2,SUM(E113:F113),NA())</x:f>
        <x:v>3</x:v>
      </x:c>
      <x:c r="I113" s="12" t="str">
        <x:v>Поточна</x:v>
      </x:c>
      <x:c r="J113" s="2"/>
      <x:c r="K113" s="9" t="str">
        <x:v>Аналіз коду №12, S0.3</x:v>
      </x:c>
      <x:c r="L113" s="9" t="str">
        <x:v>Спільна основа для №2/6/9/12; фінансові алгоритми залишаються у №9.</x:v>
      </x:c>
    </x:row>
    <x:row r="114" ht="38" customHeight="1">
      <x:c r="A114" s="12" t="str">
        <x:v>S0</x:v>
      </x:c>
      <x:c r="B114" s="12" t="str">
        <x:v>S0.4</x:v>
      </x:c>
      <x:c r="C114" s="12" t="str">
        <x:v>Спільні роботи</x:v>
      </x:c>
      <x:c r="D114" s="9" t="str">
        <x:v>Протокол перевіреного запису/перебудови, відновлення узгодженого стану після збою та контракт блокування змін</x:v>
      </x:c>
      <x:c r="E114" s="14" t="n">
        <x:v>1</x:v>
      </x:c>
      <x:c r="F114" s="14" t="n">
        <x:v>1</x:v>
      </x:c>
      <x:c r="G114" s="11"/>
      <x:c r="H114" s="11" t="n">
        <x:f>IF(COUNT(E114:F114)=2,SUM(E114:F114),NA())</x:f>
        <x:v>2</x:v>
      </x:c>
      <x:c r="I114" s="12" t="str">
        <x:v>Поточна</x:v>
      </x:c>
      <x:c r="J114" s="2"/>
      <x:c r="K114" s="9" t="str">
        <x:v>Аналіз коду №12, S0.4</x:v>
      </x:c>
      <x:c r="L114" s="9" t="str">
        <x:v>Спільна основа для №2/6/9/12; фінансові алгоритми залишаються у №9.</x:v>
      </x:c>
    </x:row>
    <x:row r="115" ht="38" customHeight="1">
      <x:c r="A115" s="15" t="str">
        <x:v>G-M</x:v>
      </x:c>
      <x:c r="B115" s="15" t="str">
        <x:v>G-M.1</x:v>
      </x:c>
      <x:c r="C115" s="15" t="str">
        <x:v>Спільні роботи</x:v>
      </x:c>
      <x:c r="D115" s="16" t="str">
        <x:v>Сценарій двох людей: імпорт → вхід → готівка → 50/50 → погашення → звіт, перевірка загальних регресій</x:v>
      </x:c>
      <x:c r="E115" s="17" t="n">
        <x:v>0.5</x:v>
      </x:c>
      <x:c r="F115" s="17" t="n">
        <x:v>2</x:v>
      </x:c>
      <x:c r="G115" s="18"/>
      <x:c r="H115" s="18" t="n">
        <x:f>IF(COUNT(E115:F115)=2,SUM(E115:F115),NA())</x:f>
        <x:v>2.5</x:v>
      </x:c>
      <x:c r="I115" s="15" t="str">
        <x:v>Поточна</x:v>
      </x:c>
      <x:c r="J115" s="2"/>
      <x:c r="K115" s="9" t="str">
        <x:v>Аналіз коду №12, G-M.1</x:v>
      </x:c>
      <x:c r="L115" s="9" t="str">
        <x:v>Після всіх Must. Перевірки стиків і здачі, а не повторні локальні тести.</x:v>
      </x:c>
    </x:row>
    <x:row r="116" ht="38" customHeight="1">
      <x:c r="A116" s="12" t="str">
        <x:v>G-M</x:v>
      </x:c>
      <x:c r="B116" s="12" t="str">
        <x:v>G-M.2</x:v>
      </x:c>
      <x:c r="C116" s="12" t="str">
        <x:v>Спільні роботи</x:v>
      </x:c>
      <x:c r="D116" s="9" t="str">
        <x:v>Відновлення копії SQLite/правил, перебудова журналу й чистий запуск без приватних файлів у git</x:v>
      </x:c>
      <x:c r="E116" s="14" t="n">
        <x:v>0.5</x:v>
      </x:c>
      <x:c r="F116" s="14" t="n">
        <x:v>1.5</x:v>
      </x:c>
      <x:c r="G116" s="11"/>
      <x:c r="H116" s="11" t="n">
        <x:f>IF(COUNT(E116:F116)=2,SUM(E116:F116),NA())</x:f>
        <x:v>2</x:v>
      </x:c>
      <x:c r="I116" s="12" t="str">
        <x:v>Поточна</x:v>
      </x:c>
      <x:c r="J116" s="2"/>
      <x:c r="K116" s="9" t="str">
        <x:v>Аналіз коду №12, G-M.2</x:v>
      </x:c>
      <x:c r="L116" s="9" t="str">
        <x:v>Після всіх Must. Перевірки стиків і здачі, а не повторні локальні тести.</x:v>
      </x:c>
    </x:row>
    <x:row r="117" ht="38" customHeight="1">
      <x:c r="A117" s="12" t="str">
        <x:v>G-M</x:v>
      </x:c>
      <x:c r="B117" s="12" t="str">
        <x:v>G-M.3</x:v>
      </x:c>
      <x:c r="C117" s="12" t="str">
        <x:v>Спільні роботи</x:v>
      </x:c>
      <x:c r="D117" s="9" t="str">
        <x:v>Фінальна перевірка сервера/телефона, одна команда контролю, інструкція й приймання людиною</x:v>
      </x:c>
      <x:c r="E117" s="14" t="n">
        <x:v>0.5</x:v>
      </x:c>
      <x:c r="F117" s="14" t="n">
        <x:v>1.5</x:v>
      </x:c>
      <x:c r="G117" s="11"/>
      <x:c r="H117" s="11" t="n">
        <x:f>IF(COUNT(E117:F117)=2,SUM(E117:F117),NA())</x:f>
        <x:v>2</x:v>
      </x:c>
      <x:c r="I117" s="12" t="str">
        <x:v>Поточна</x:v>
      </x:c>
      <x:c r="J117" s="2"/>
      <x:c r="K117" s="9" t="str">
        <x:v>Аналіз коду №12, G-M.3</x:v>
      </x:c>
      <x:c r="L117" s="9" t="str">
        <x:v>Після всіх Must. Перевірки стиків і здачі, а не повторні локальні тести.</x:v>
      </x:c>
    </x:row>
    <x:row r="118" ht="38" customHeight="1">
      <x:c r="A118" s="12" t="str">
        <x:v>G-M</x:v>
      </x:c>
      <x:c r="B118" s="12" t="str">
        <x:v>G-M.4</x:v>
      </x:c>
      <x:c r="C118" s="12" t="str">
        <x:v>Спільні роботи</x:v>
      </x:c>
      <x:c r="D118" s="9" t="str">
        <x:v>Виправлення знайдених саме при спільній інтеграції помилок і контрольний повтор</x:v>
      </x:c>
      <x:c r="E118" s="14" t="n">
        <x:v>1</x:v>
      </x:c>
      <x:c r="F118" s="14" t="n">
        <x:v>0.5</x:v>
      </x:c>
      <x:c r="G118" s="11"/>
      <x:c r="H118" s="11" t="n">
        <x:f>IF(COUNT(E118:F118)=2,SUM(E118:F118),NA())</x:f>
        <x:v>1.5</x:v>
      </x:c>
      <x:c r="I118" s="12" t="str">
        <x:v>Поточна</x:v>
      </x:c>
      <x:c r="J118" s="2"/>
      <x:c r="K118" s="9" t="str">
        <x:v>Аналіз коду №12, G-M.4</x:v>
      </x:c>
      <x:c r="L118" s="9" t="str">
        <x:v>Після всіх Must. Перевірки стиків і здачі, а не повторні локальні тести.</x:v>
      </x:c>
    </x:row>
    <x:row r="119" ht="38" customHeight="1">
      <x:c r="A119" s="15" t="str">
        <x:v>G-S</x:v>
      </x:c>
      <x:c r="B119" s="15" t="str">
        <x:v>G-S.1</x:v>
      </x:c>
      <x:c r="C119" s="15" t="str">
        <x:v>Спільні роботи</x:v>
      </x:c>
      <x:c r="D119" s="16" t="str">
        <x:v>Інтегрований прогін Should з базовими сценаріями, перегляд результату та виправлення стиків</x:v>
      </x:c>
      <x:c r="E119" s="17" t="n">
        <x:v>0.5</x:v>
      </x:c>
      <x:c r="F119" s="17" t="n">
        <x:v>1.5</x:v>
      </x:c>
      <x:c r="G119" s="18"/>
      <x:c r="H119" s="18" t="n">
        <x:f>IF(COUNT(E119:F119)=2,SUM(E119:F119),NA())</x:f>
        <x:v>2</x:v>
      </x:c>
      <x:c r="I119" s="15" t="str">
        <x:v>Поточна</x:v>
      </x:c>
      <x:c r="J119" s="2"/>
      <x:c r="K119" s="9" t="str">
        <x:v>Аналіз коду №12, G-S.1</x:v>
      </x:c>
      <x:c r="L119" s="9" t="str">
        <x:v>Після обраного пакета Should. Одна спільна перевірка релізу.</x:v>
      </x:c>
    </x:row>
    <x:row r="120" ht="38" customHeight="1">
      <x:c r="A120" s="15" t="str">
        <x:v>G-C</x:v>
      </x:c>
      <x:c r="B120" s="15" t="str">
        <x:v>G-C.1</x:v>
      </x:c>
      <x:c r="C120" s="15" t="str">
        <x:v>Спільні роботи</x:v>
      </x:c>
      <x:c r="D120" s="16" t="str">
        <x:v>Інтегрований прогін експорту/повідомлень/теми, перевірка прав і виправлення стиків</x:v>
      </x:c>
      <x:c r="E120" s="17" t="n">
        <x:v>0.5</x:v>
      </x:c>
      <x:c r="F120" s="17" t="n">
        <x:v>1.5</x:v>
      </x:c>
      <x:c r="G120" s="18"/>
      <x:c r="H120" s="18" t="n">
        <x:f>IF(COUNT(E120:F120)=2,SUM(E120:F120),NA())</x:f>
        <x:v>2</x:v>
      </x:c>
      <x:c r="I120" s="15" t="str">
        <x:v>Поточна</x:v>
      </x:c>
      <x:c r="J120" s="2"/>
      <x:c r="K120" s="9" t="str">
        <x:v>Аналіз коду №12, G-C.1</x:v>
      </x:c>
      <x:c r="L120" s="9" t="str">
        <x:v>Після обраного пакета Could. Одна спільна перевірка релізу.</x:v>
      </x:c>
    </x:row>
    <x:row r="121" ht="38" customHeight="1">
      <x:c r="A121" s="15" t="str">
        <x:v>P1</x:v>
      </x:c>
      <x:c r="B121" s="15" t="str">
        <x:v>P1.1</x:v>
      </x:c>
      <x:c r="C121" s="15" t="str">
        <x:v>Спільні роботи</x:v>
      </x:c>
      <x:c r="D121" s="16" t="str">
        <x:v>Межі за фактичними надходженнями Product Co, початковий/останній неповні періоди</x:v>
      </x:c>
      <x:c r="E121" s="17" t="n">
        <x:v>1</x:v>
      </x:c>
      <x:c r="F121" s="17" t="n">
        <x:v>0.5</x:v>
      </x:c>
      <x:c r="G121" s="18"/>
      <x:c r="H121" s="18" t="n">
        <x:f>IF(COUNT(E121:F121)=2,SUM(E121:F121),NA())</x:f>
        <x:v>1.5</x:v>
      </x:c>
      <x:c r="I121" s="15" t="str">
        <x:v>Окрема вимога</x:v>
      </x:c>
      <x:c r="J121" s="2"/>
      <x:c r="K121" s="9" t="str">
        <x:v>Аналіз коду №12, P1.1</x:v>
      </x:c>
      <x:c r="L121" s="9" t="str">
        <x:v>Окрема вимога PRD щодо періодів Олі між зарплатами; не входить у календарні Must.</x:v>
      </x:c>
    </x:row>
    <x:row r="122" ht="38" customHeight="1">
      <x:c r="A122" s="12" t="str">
        <x:v>P1</x:v>
      </x:c>
      <x:c r="B122" s="12" t="str">
        <x:v>P1.2</x:v>
      </x:c>
      <x:c r="C122" s="12" t="str">
        <x:v>Спільні роботи</x:v>
      </x:c>
      <x:c r="D122" s="9" t="str">
        <x:v>Параметризовані фінансові вибірки та нативні query за узгодженими межами</x:v>
      </x:c>
      <x:c r="E122" s="14" t="n">
        <x:v>1</x:v>
      </x:c>
      <x:c r="F122" s="14" t="n">
        <x:v>0.5</x:v>
      </x:c>
      <x:c r="G122" s="11"/>
      <x:c r="H122" s="11" t="n">
        <x:f>IF(COUNT(E122:F122)=2,SUM(E122:F122),NA())</x:f>
        <x:v>1.5</x:v>
      </x:c>
      <x:c r="I122" s="12" t="str">
        <x:v>Окрема вимога</x:v>
      </x:c>
      <x:c r="J122" s="2"/>
      <x:c r="K122" s="9" t="str">
        <x:v>Аналіз коду №12, P1.2</x:v>
      </x:c>
      <x:c r="L122" s="9" t="str">
        <x:v>Окрема вимога PRD щодо періодів Олі між зарплатами; не входить у календарні Must.</x:v>
      </x:c>
    </x:row>
    <x:row r="123" ht="38" customHeight="1">
      <x:c r="A123" s="12" t="str">
        <x:v>P1</x:v>
      </x:c>
      <x:c r="B123" s="12" t="str">
        <x:v>P1.3</x:v>
      </x:c>
      <x:c r="C123" s="12" t="str">
        <x:v>Спільні роботи</x:v>
      </x:c>
      <x:c r="D123" s="9" t="str">
        <x:v>Вибір періоду й підписи дат у готовому звіті</x:v>
      </x:c>
      <x:c r="E123" s="14" t="n">
        <x:v>0.5</x:v>
      </x:c>
      <x:c r="F123" s="14" t="n">
        <x:v>0.5</x:v>
      </x:c>
      <x:c r="G123" s="11"/>
      <x:c r="H123" s="11" t="n">
        <x:f>IF(COUNT(E123:F123)=2,SUM(E123:F123),NA())</x:f>
        <x:v>1</x:v>
      </x:c>
      <x:c r="I123" s="12" t="str">
        <x:v>Окрема вимога</x:v>
      </x:c>
      <x:c r="J123" s="2"/>
      <x:c r="K123" s="9" t="str">
        <x:v>Аналіз коду №12, P1.3</x:v>
      </x:c>
      <x:c r="L123" s="9" t="str">
        <x:v>Окрема вимога PRD щодо періодів Олі між зарплатами; не входить у календарні Must.</x:v>
      </x:c>
    </x:row>
    <x:row r="124" ht="38" customHeight="1">
      <x:c r="A124" s="12" t="str">
        <x:v>P1</x:v>
      </x:c>
      <x:c r="B124" s="12" t="str">
        <x:v>P1.4</x:v>
      </x:c>
      <x:c r="C124" s="12" t="str">
        <x:v>Спільні роботи</x:v>
      </x:c>
      <x:c r="D124" s="9" t="str">
        <x:v>Перевірки дня зарплати, збереження всіх операцій, неповних періодів, нульового доходу й регресії календарних контролів</x:v>
      </x:c>
      <x:c r="E124" s="14" t="n">
        <x:v>0.5</x:v>
      </x:c>
      <x:c r="F124" s="14" t="n">
        <x:v>1.5</x:v>
      </x:c>
      <x:c r="G124" s="11"/>
      <x:c r="H124" s="11" t="n">
        <x:f>IF(COUNT(E124:F124)=2,SUM(E124:F124),NA())</x:f>
        <x:v>2</x:v>
      </x:c>
      <x:c r="I124" s="12" t="str">
        <x:v>Окрема вимога</x:v>
      </x:c>
      <x:c r="J124" s="2"/>
      <x:c r="K124" s="9" t="str">
        <x:v>Аналіз коду №12, P1.4</x:v>
      </x:c>
      <x:c r="L124" s="9" t="str">
        <x:v>Окрема вимога PRD щодо періодів Олі між зарплатами; не входить у календарні Must.</x:v>
      </x:c>
    </x:row>
  </x:sheetData>
  <x:pageMargins left="0.7" right="0.7" top="0.75" bottom="0.75" header="0.3" footer="0.3"/>
  <x:tableParts count="1">
    <x:tablePart xmlns:r="http://schemas.openxmlformats.org/officeDocument/2006/relationships" r:id="Rda2708975a3b4fda"/>
  </x:tableParts>
</x:worksheet>
</file>